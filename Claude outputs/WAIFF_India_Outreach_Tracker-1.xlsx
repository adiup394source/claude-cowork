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Pipeline Summary" sheetId="1" state="visible" r:id="rId3"/>
    <sheet name="Targets" sheetId="2" state="visible" r:id="rId4"/>
    <sheet name="LinkedIn Tracker" sheetId="3" state="visible" r:id="rId5"/>
    <sheet name="Gmail Tracker" sheetId="4" state="visible" r:id="rId6"/>
    <sheet name="Sponsor Follow-ups" sheetId="5" state="visible" r:id="rId7"/>
    <sheet name="Organizer Follow-ups" sheetId="6" state="visible" r:id="rId8"/>
    <sheet name="Replies Tracker" sheetId="7" state="visible" r:id="rId9"/>
    <sheet name="Daily Log" sheetId="8" state="visible" r:id="rId10"/>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<sst xmlns="http://schemas.openxmlformats.org/spreadsheetml/2006/main" count="8363" uniqueCount="1815">
  <si>
    <t xml:space="preserve">WAIFF India Edition — Outreach Pipeline Summary</t>
  </si>
  <si>
    <t xml:space="preserve">Live dashboard, pulled from Targets / Gmail Tracker / LinkedIn Tracker. Update the two blue input cells; everything else recalculates.</t>
  </si>
  <si>
    <t xml:space="preserve">SENDING RAMP</t>
  </si>
  <si>
    <t xml:space="preserve">Campaign start date</t>
  </si>
  <si>
    <t xml:space="preserve">Days into campaign (today)</t>
  </si>
  <si>
    <t xml:space="preserve">Today's daily send target</t>
  </si>
  <si>
    <t xml:space="preserve">Note (3 Sep 2026): ramp started mid-sequence — Aditya was already sending from his own Gmail, so days 1-3 were skipped. Days 4-7 bumped to 60/day (from the brief's default 50). Days 8-14 and 15+ continue on the original 75 / 100 schedule.</t>
  </si>
  <si>
    <t xml:space="preserve">Ramp reference (brief section 8)</t>
  </si>
  <si>
    <t xml:space="preserve">Days</t>
  </si>
  <si>
    <t xml:space="preserve">Sends/day</t>
  </si>
  <si>
    <t xml:space="preserve">Days 1-3</t>
  </si>
  <si>
    <t xml:space="preserve">Days 4-7</t>
  </si>
  <si>
    <t xml:space="preserve">Days 8-14</t>
  </si>
  <si>
    <t xml:space="preserve">Days 15+</t>
  </si>
  <si>
    <t xml:space="preserve">PIPELINE COUNTS (from Targets tab)</t>
  </si>
  <si>
    <t xml:space="preserve">Total companies logged</t>
  </si>
  <si>
    <t xml:space="preserve">Excluded (section 4)</t>
  </si>
  <si>
    <t xml:space="preserve">Not started</t>
  </si>
  <si>
    <t xml:space="preserve">Researching</t>
  </si>
  <si>
    <t xml:space="preserve">Ready to send</t>
  </si>
  <si>
    <t xml:space="preserve">Sent</t>
  </si>
  <si>
    <t xml:space="preserve">Replied</t>
  </si>
  <si>
    <t xml:space="preserve">Meeting booked</t>
  </si>
  <si>
    <t xml:space="preserve">Dormant (past day 25, no response)</t>
  </si>
  <si>
    <t xml:space="preserve">EMAIL / FORM ACTIVITY (from Gmail Tracker tab)</t>
  </si>
  <si>
    <t xml:space="preserve">Total companies sent (email + form)</t>
  </si>
  <si>
    <t xml:space="preserve">Bounces</t>
  </si>
  <si>
    <t xml:space="preserve">Bounce rate</t>
  </si>
  <si>
    <t xml:space="preserve">Replies</t>
  </si>
  <si>
    <t xml:space="preserve">Reply rate</t>
  </si>
  <si>
    <t xml:space="preserve">Meetings booked</t>
  </si>
  <si>
    <t xml:space="preserve">LINKEDIN ACTIVITY (from LinkedIn Tracker tab)</t>
  </si>
  <si>
    <t xml:space="preserve">Profiles logged (all batches)</t>
  </si>
  <si>
    <t xml:space="preserve">Connections sent</t>
  </si>
  <si>
    <t xml:space="preserve">Connections accepted</t>
  </si>
  <si>
    <t xml:space="preserve">Accept rate</t>
  </si>
  <si>
    <t xml:space="preserve">Messages sent</t>
  </si>
  <si>
    <t xml:space="preserve">48-HOUR REVIEW (fill in manually every 2 days — brief section 10c)</t>
  </si>
  <si>
    <t xml:space="preserve">Date of review</t>
  </si>
  <si>
    <t xml:space="preserve">Best-performing segment</t>
  </si>
  <si>
    <t xml:space="preserve">Worst-performing segment</t>
  </si>
  <si>
    <t xml:space="preserve">Subject lines working</t>
  </si>
  <si>
    <t xml:space="preserve">Follow-up stage working best</t>
  </si>
  <si>
    <t xml:space="preserve">One change recommended</t>
  </si>
  <si>
    <t xml:space="preserve">WAIFF India — Targets (master company list, one row per company)</t>
  </si>
  <si>
    <t xml:space="preserve">One-pass rule: each company gets exactly one row. Check for duplicates and section-4 exclusions here before adding. Row 4 is an example only — real rows start at row 5.</t>
  </si>
  <si>
    <t xml:space="preserve">Company</t>
  </si>
  <si>
    <t xml:space="preserve">Priority Bucket</t>
  </si>
  <si>
    <t xml:space="preserve">HQ / Region</t>
  </si>
  <si>
    <t xml:space="preserve">Relevance (why qualified)</t>
  </si>
  <si>
    <t xml:space="preserve">Capacity check (Y/N/Unknown)</t>
  </si>
  <si>
    <t xml:space="preserve">Reachability - named contact found (Y/N)</t>
  </si>
  <si>
    <t xml:space="preserve">Excluded? (Y/N)</t>
  </si>
  <si>
    <t xml:space="preserve">Exclusion reason</t>
  </si>
  <si>
    <t xml:space="preserve">Role target (Sponsor/Organizer/Either)</t>
  </si>
  <si>
    <t xml:space="preserve">Best email address</t>
  </si>
  <si>
    <t xml:space="preserve">Other addresses (BCC)</t>
  </si>
  <si>
    <t xml:space="preserve">Enquiry form URL</t>
  </si>
  <si>
    <t xml:space="preserve">Channel chosen</t>
  </si>
  <si>
    <t xml:space="preserve">LinkedIn profiles logged? (Y/N)</t>
  </si>
  <si>
    <t xml:space="preserve">Status</t>
  </si>
  <si>
    <t xml:space="preserve">Date added</t>
  </si>
  <si>
    <t xml:space="preserve">Date first contacted</t>
  </si>
  <si>
    <t xml:space="preserve">Follow-up Day 4 done (Y/N)</t>
  </si>
  <si>
    <t xml:space="preserve">Follow-up Day 11 done (Y/N)</t>
  </si>
  <si>
    <t xml:space="preserve">Follow-up Day 25 done (Y/N)</t>
  </si>
  <si>
    <t xml:space="preserve">Notes</t>
  </si>
  <si>
    <t xml:space="preserve">Runway AI, Inc.</t>
  </si>
  <si>
    <t xml:space="preserve">Venture-funded AI tool company</t>
  </si>
  <si>
    <t xml:space="preserve">New York, USA</t>
  </si>
  <si>
    <t xml:space="preserve">Makes AI video-generation tools used by filmmakers — direct category fit</t>
  </si>
  <si>
    <t xml:space="preserve">Y</t>
  </si>
  <si>
    <t xml:space="preserve">N</t>
  </si>
  <si>
    <t xml:space="preserve">Sponsor</t>
  </si>
  <si>
    <t xml:space="preserve">partnerships@runwayml.com</t>
  </si>
  <si>
    <t xml:space="preserve">press@runwayml.com</t>
  </si>
  <si>
    <t xml:space="preserve">https://runwayml.com/contact</t>
  </si>
  <si>
    <t xml:space="preserve">Email</t>
  </si>
  <si>
    <t xml:space="preserve">2026-09-03</t>
  </si>
  <si>
    <t xml:space="preserve">EXAMPLE ROW — edit or delete, do not count as real data</t>
  </si>
  <si>
    <t xml:space="preserve">Radisson Blu</t>
  </si>
  <si>
    <t xml:space="preserve">Already contacted directly by Aditya</t>
  </si>
  <si>
    <t xml:space="preserve">Unknown</t>
  </si>
  <si>
    <t xml:space="preserve">communication@radissonhotels.com</t>
  </si>
  <si>
    <t xml:space="preserve">2026-09-01</t>
  </si>
  <si>
    <t xml:space="preserve">Backfilled 3 Sep 2026 — sent directly by Aditya before this tracker existed. Anuj Kumar asked 3 questions before a call; replied 3 Sep 2026 with company/date/value framing, no deck link sent. Awaiting reply.</t>
  </si>
  <si>
    <t xml:space="preserve">EPAM Systems</t>
  </si>
  <si>
    <t xml:space="preserve">sameena.mohdali@gmail.com; sameena_ali@epam.com; nandini_bhatnagar@epam.com; nandinib2007@gmail.com; nandinibhatnagar@epam.it</t>
  </si>
  <si>
    <t xml:space="preserve">Backfilled 3 Sep 2026 — sent directly by Aditya before this tracker existed. Nandini Bhatnagar wants to talk after Sept 9; replied 3 Sep 2026 confirming availability. Awaiting her scheduling reply.</t>
  </si>
  <si>
    <t xml:space="preserve">Adani Digital Labs</t>
  </si>
  <si>
    <t xml:space="preserve">digitallabs@adani.com; media@adani.com; hrishik.jethi@adani.com; cgarg@adanidigitallabs.com; manishsingh.payal@adani.com; jaladhi.shukla@adani.com; support@adanione.com; cbccyber1@adani.com</t>
  </si>
  <si>
    <t xml:space="preserve">2026-09-02</t>
  </si>
  <si>
    <t xml:space="preserve">Backfilled 3 Sep 2026 — sent directly by Aditya before this tracker existed. BOUNCE: 4 of 8 BCC addresses bounced (cgarg@adanidigitallabs.com, hrishik.jethi@adani.com, manishsingh.payal@adani.com, digitallabs@adani.com)</t>
  </si>
  <si>
    <t xml:space="preserve">Adani AI Labs</t>
  </si>
  <si>
    <t xml:space="preserve">Shalini.singh@adani.com</t>
  </si>
  <si>
    <t xml:space="preserve">roy.paul@adani.com; jeet.adani@adani.com; tanushyam.chattopadhyay@adani.com; investor.ael@adani.com</t>
  </si>
  <si>
    <t xml:space="preserve">Backfilled 3 Sep 2026 — sent directly by Aditya before this tracker existed. BOUNCE: 1 of 4 BCC addresses bounced (tanushyam.chattopadhyay@adani.com); also sent separately to Shalini Singh direct</t>
  </si>
  <si>
    <t xml:space="preserve">Freshworks</t>
  </si>
  <si>
    <t xml:space="preserve">sales@freshworks.com; pr@freshworks.com; dpo@freshworks.com; ir@freshworks.com</t>
  </si>
  <si>
    <t xml:space="preserve">Backfilled 3 Sep 2026 — sent directly by Aditya before this tracker existed. Automated support-ticket confirmation only — not a personal reply, no action needed yet</t>
  </si>
  <si>
    <t xml:space="preserve">Zoho</t>
  </si>
  <si>
    <t xml:space="preserve">sales@zohocorp.com; partner-operations@zohocorp.com; press@zohocorp.com</t>
  </si>
  <si>
    <t xml:space="preserve">Backfilled 3 Sep 2026 — sent directly by Aditya before this tracker existed. Automated partner-ticket confirmation + generic sales-team reply — not personalized, no action needed yet</t>
  </si>
  <si>
    <t xml:space="preserve">Myntra</t>
  </si>
  <si>
    <t xml:space="preserve">communications@myntra.com</t>
  </si>
  <si>
    <t xml:space="preserve">Bounced</t>
  </si>
  <si>
    <t xml:space="preserve">Backfilled 3 Sep 2026 — sent directly by Aditya before this tracker existed. BOUNCE: Address not found (bounced) — only address used, no BCC alternates</t>
  </si>
  <si>
    <t xml:space="preserve">Tech Mahindra</t>
  </si>
  <si>
    <t xml:space="preserve">alliances@techmahindra.com; socialmedia@techmahindra.com; mktg@techmahindra.com; media.relations@techmahindra.com</t>
  </si>
  <si>
    <t xml:space="preserve">Backfilled 3 Sep 2026 — sent directly by Aditya before this tracker existed.</t>
  </si>
  <si>
    <t xml:space="preserve">BenQ India</t>
  </si>
  <si>
    <t xml:space="preserve">ruchika.singh@benq.com; ankita.karwa@benq.com; rajeev.singh@benq.com (+3 personal-looking gmail addresses also BCC'd)</t>
  </si>
  <si>
    <t xml:space="preserve">Sennheiser</t>
  </si>
  <si>
    <t xml:space="preserve">sponsoring@sennheiser.com; sarah.talaat@sennheiser.com; felix.teufel@sennheiser.com (+17 more BCC'd, incl. Sonova/Neumann/agency addresses)</t>
  </si>
  <si>
    <t xml:space="preserve">Runway</t>
  </si>
  <si>
    <t xml:space="preserve">San Francisco, US</t>
  </si>
  <si>
    <t xml:space="preserve">Gen-4.5 launch + Lionsgate equity partnership for AI-generated franchise content</t>
  </si>
  <si>
    <t xml:space="preserve">Sent 3 Sep 2026 — Batch 1 (60), Target Batch 2 research.</t>
  </si>
  <si>
    <t xml:space="preserve">Genmo</t>
  </si>
  <si>
    <t xml:space="preserve">Mochi 1 open text-to-video model, still updated a year on</t>
  </si>
  <si>
    <t xml:space="preserve">hi@genmo.ai</t>
  </si>
  <si>
    <t xml:space="preserve">Shengshu Technology (Vidu)</t>
  </si>
  <si>
    <t xml:space="preserve">Beijing, China</t>
  </si>
  <si>
    <t xml:space="preserve">Alibaba Cloud $290M round backing Vidu world-model ambitions</t>
  </si>
  <si>
    <t xml:space="preserve">support@vidu.com</t>
  </si>
  <si>
    <t xml:space="preserve">ElevenLabs</t>
  </si>
  <si>
    <t xml:space="preserve">London, UK</t>
  </si>
  <si>
    <t xml:space="preserve">New CRO, Canada launch, CLI v1 release</t>
  </si>
  <si>
    <t xml:space="preserve">press@elevenlabs.io</t>
  </si>
  <si>
    <t xml:space="preserve">Murf AI</t>
  </si>
  <si>
    <t xml:space="preserve">Bangalore, India</t>
  </si>
  <si>
    <t xml:space="preserve">300+ Forbes 2000 clients, 6M+ users, 20+ languages</t>
  </si>
  <si>
    <t xml:space="preserve">alliances@murf.ai</t>
  </si>
  <si>
    <t xml:space="preserve">enterprise@murf.ai; support@murf.ai</t>
  </si>
  <si>
    <t xml:space="preserve">NeuralGarage</t>
  </si>
  <si>
    <t xml:space="preserve">Mumbai, India</t>
  </si>
  <si>
    <t xml:space="preserve">VisualDub — SXSW 2025 winner, lip-sync tech used in Rajinikanth's Coolie</t>
  </si>
  <si>
    <t xml:space="preserve">info@neuralgarage.com</t>
  </si>
  <si>
    <t xml:space="preserve">Synthesia</t>
  </si>
  <si>
    <t xml:space="preserve">Signed EU Article 50 AI Act code of practice; interactive AI press-officer avatar</t>
  </si>
  <si>
    <t xml:space="preserve">press@synthesia.io</t>
  </si>
  <si>
    <t xml:space="preserve">OpusClip (Opus.pro)</t>
  </si>
  <si>
    <t xml:space="preserve">SoftBank Vision Fund 2 $20M investment in AI video editing platform</t>
  </si>
  <si>
    <t xml:space="preserve">contact@opus.pro</t>
  </si>
  <si>
    <t xml:space="preserve">Captions (Mirage)</t>
  </si>
  <si>
    <t xml:space="preserve">New York, US</t>
  </si>
  <si>
    <t xml:space="preserve">$75M raise from General Catalyst Customer Value Fund for Asia expansion</t>
  </si>
  <si>
    <t xml:space="preserve">press@mirage.app</t>
  </si>
  <si>
    <t xml:space="preserve">info@mirage.app</t>
  </si>
  <si>
    <t xml:space="preserve">Topaz Labs</t>
  </si>
  <si>
    <t xml:space="preserve">Dallas, US</t>
  </si>
  <si>
    <t xml:space="preserve">Largest single AI model release in company history; NeuroStream cuts VRAM 95%</t>
  </si>
  <si>
    <t xml:space="preserve">Press@topazlabs.com</t>
  </si>
  <si>
    <t xml:space="preserve">Black Forest Labs</t>
  </si>
  <si>
    <t xml:space="preserve">Freiburg, Germany</t>
  </si>
  <si>
    <t xml:space="preserve">Martin Scorsese joined as advisor to shape FLUX use in filmmaking pre-production</t>
  </si>
  <si>
    <t xml:space="preserve">info@blackforestlabs.ai</t>
  </si>
  <si>
    <t xml:space="preserve">Stability AI</t>
  </si>
  <si>
    <t xml:space="preserve">$76M Series B backed by EA/Sony Music/UMG/WMG/AMD Ventures + new WPP partnership</t>
  </si>
  <si>
    <t xml:space="preserve">partners@stability.ai</t>
  </si>
  <si>
    <t xml:space="preserve">press@stability.ai</t>
  </si>
  <si>
    <t xml:space="preserve">NVIDIA</t>
  </si>
  <si>
    <t xml:space="preserve">India-operating hardware &amp; consumer brand</t>
  </si>
  <si>
    <t xml:space="preserve">Santa Clara, US (India: Bengaluru/Gurugram)</t>
  </si>
  <si>
    <t xml:space="preserve">Cosmos 3 Edge world model + Synthetic Video Detector NIM announced at SIGGRAPH 2026</t>
  </si>
  <si>
    <t xml:space="preserve">india-pr@nvidia.com</t>
  </si>
  <si>
    <t xml:space="preserve">Qualcomm</t>
  </si>
  <si>
    <t xml:space="preserve">San Diego, US (India offices)</t>
  </si>
  <si>
    <t xml:space="preserve">"Snapdragon For India 2026" launch of Snapdragon 6 Gen 5 / 4 Gen 5</t>
  </si>
  <si>
    <t xml:space="preserve">corpcomm@qualcomm.com</t>
  </si>
  <si>
    <t xml:space="preserve">Sony India</t>
  </si>
  <si>
    <t xml:space="preserve">Tokyo, Japan (India subsidiary)</t>
  </si>
  <si>
    <t xml:space="preserve">ILCE-7V launch with AI-powered Auto Framing and 7K-oversampled 4K/60p video</t>
  </si>
  <si>
    <t xml:space="preserve">press.india@sony.com</t>
  </si>
  <si>
    <t xml:space="preserve">Harman International (JBL)</t>
  </si>
  <si>
    <t xml:space="preserve">Stamford, US (India office; Samsung-owned)</t>
  </si>
  <si>
    <t xml:space="preserve">JBL 80th anniversary; Summit Everest / Summit K2 loudspeaker launch</t>
  </si>
  <si>
    <t xml:space="preserve">indiaprosales@harman.com</t>
  </si>
  <si>
    <t xml:space="preserve">indiaprocare@harman.com; david.glaubke@harman.com</t>
  </si>
  <si>
    <t xml:space="preserve">Zebronics</t>
  </si>
  <si>
    <t xml:space="preserve">Chennai, India</t>
  </si>
  <si>
    <t xml:space="preserve">Zeb-PixaPlay 72 Plus — 120-inch, 4000-lumen smart projector</t>
  </si>
  <si>
    <t xml:space="preserve">enquiry@zebronics.com</t>
  </si>
  <si>
    <t xml:space="preserve">Dell Technologies India</t>
  </si>
  <si>
    <t xml:space="preserve">Round Rock, US (India: Bengaluru/Hyderabad)</t>
  </si>
  <si>
    <t xml:space="preserve">Alienware 16X Aurora "Back to School" campaign with Jemimah Rodrigues and Yashraj Mukhate</t>
  </si>
  <si>
    <t xml:space="preserve">media.relations@dell.com</t>
  </si>
  <si>
    <t xml:space="preserve">ASUS India</t>
  </si>
  <si>
    <t xml:space="preserve">Taipei, Taiwan (India subsidiary)</t>
  </si>
  <si>
    <t xml:space="preserve">ROG Flow Z13 Kojima Productions Edition collab (Death Stranding universe)</t>
  </si>
  <si>
    <t xml:space="preserve">Media@asus.com</t>
  </si>
  <si>
    <t xml:space="preserve">Lenovo India</t>
  </si>
  <si>
    <t xml:space="preserve">Beijing/Morrisville (India subsidiary)</t>
  </si>
  <si>
    <t xml:space="preserve">Creator/influencer partnerships program (Grace Gabel, Sabrina Mohan)</t>
  </si>
  <si>
    <t xml:space="preserve">grace.gabel@lenovo.com</t>
  </si>
  <si>
    <t xml:space="preserve">sabrina.mohan@lenovo.com; stephanie.yu@lenovo.com</t>
  </si>
  <si>
    <t xml:space="preserve">Western Digital (SanDisk Professional)</t>
  </si>
  <si>
    <t xml:space="preserve">San Jose, US (India operations)</t>
  </si>
  <si>
    <t xml:space="preserve">SanDisk Creator Series launch in India for 4K-6K creators, bundled Adobe CC trial</t>
  </si>
  <si>
    <t xml:space="preserve">WD.Mediainquiries@wdc.com</t>
  </si>
  <si>
    <t xml:space="preserve">Samsung India</t>
  </si>
  <si>
    <t xml:space="preserve">Suwon, South Korea (India subsidiary)</t>
  </si>
  <si>
    <t xml:space="preserve">Brut India partnership covering 2026 Cannes red carpet via Galaxy S26 Ultra creator storytelling</t>
  </si>
  <si>
    <t xml:space="preserve">corpcommindia@samsung.com</t>
  </si>
  <si>
    <t xml:space="preserve">Krutrim AI (Ola Krutrim)</t>
  </si>
  <si>
    <t xml:space="preserve">Indian AI infrastructure</t>
  </si>
  <si>
    <t xml:space="preserve">Bengaluru, India</t>
  </si>
  <si>
    <t xml:space="preserve">First annual net profit; revenue nearly tripled; 25+ enterprise clients</t>
  </si>
  <si>
    <t xml:space="preserve">sales@olakrutrim.com</t>
  </si>
  <si>
    <t xml:space="preserve">cloudsupport@olakrutrim.com</t>
  </si>
  <si>
    <t xml:space="preserve">Yotta Data Services</t>
  </si>
  <si>
    <t xml:space="preserve">Navi Mumbai, India</t>
  </si>
  <si>
    <t xml:space="preserve">Frost &amp; Sullivan 2026 Indian Company of the Year for Sovereign AI Infrastructure</t>
  </si>
  <si>
    <t xml:space="preserve">marketing@yotta.com</t>
  </si>
  <si>
    <t xml:space="preserve">info@yotta.com</t>
  </si>
  <si>
    <t xml:space="preserve">E2E Networks</t>
  </si>
  <si>
    <t xml:space="preserve">New Delhi, India</t>
  </si>
  <si>
    <t xml:space="preserve">₹1,000 crore Blackwell GPU order + new NVIDIA B200 cluster on TIR platform</t>
  </si>
  <si>
    <t xml:space="preserve">sales@e2enetworks.com</t>
  </si>
  <si>
    <t xml:space="preserve">Netweb Technologies</t>
  </si>
  <si>
    <t xml:space="preserve">Faridabad, India</t>
  </si>
  <si>
    <t xml:space="preserve">Launched Tyrone ParallelStor Velox unified data platform for AI/HPC</t>
  </si>
  <si>
    <t xml:space="preserve">mktkol@netwebindia.com</t>
  </si>
  <si>
    <t xml:space="preserve">info@netwebindia.com; hydsales@netwebindia.com</t>
  </si>
  <si>
    <t xml:space="preserve">CtrlS Datacenters</t>
  </si>
  <si>
    <t xml:space="preserve">Hyderabad, India</t>
  </si>
  <si>
    <t xml:space="preserve">₹7,000 crore CPP Investments commitment to scale India datacenter infrastructure</t>
  </si>
  <si>
    <t xml:space="preserve">marketing@ctrls.in</t>
  </si>
  <si>
    <t xml:space="preserve">Nikon India / RED Digital Cinema</t>
  </si>
  <si>
    <t xml:space="preserve">Tokyo, Japan (India subsidiary; RED acquired 2024)</t>
  </si>
  <si>
    <t xml:space="preserve">Nikon ZR — first Nikon cinema camera, born from RED Digital Cinema acquisition</t>
  </si>
  <si>
    <t xml:space="preserve">NindSupport@nikon.com</t>
  </si>
  <si>
    <t xml:space="preserve">Panasonic (Lumix) India</t>
  </si>
  <si>
    <t xml:space="preserve">Osaka, Japan (India subsidiary)</t>
  </si>
  <si>
    <t xml:space="preserve">LUMIX L² Technology autofocus collaboration with DJI for cinema/mirrorless cameras</t>
  </si>
  <si>
    <t xml:space="preserve">helpline@in.Panasonic.com</t>
  </si>
  <si>
    <t xml:space="preserve">Fractal Analytics</t>
  </si>
  <si>
    <t xml:space="preserve">Media, VFX and exhibition</t>
  </si>
  <si>
    <t xml:space="preserve">IPO Feb 2026, India's first AI-focused public offering</t>
  </si>
  <si>
    <t xml:space="preserve">https://fractal.ai/contact-us/</t>
  </si>
  <si>
    <t xml:space="preserve">Form</t>
  </si>
  <si>
    <t xml:space="preserve">Form submitted</t>
  </si>
  <si>
    <t xml:space="preserve">Business Opportunity form submitted 3 Sep 2026, reply-to adiup394@gmail.com. Note: message field had a stray phone-number prefix due to a form-fill glitch, rest of message intact.</t>
  </si>
  <si>
    <t xml:space="preserve">AMD</t>
  </si>
  <si>
    <t xml:space="preserve">Santa Clara, US (India: Bengaluru)</t>
  </si>
  <si>
    <t xml:space="preserve">AMD x S8UL/Revenant Esports creator-ecosystem partnership</t>
  </si>
  <si>
    <t xml:space="preserve">https://www.amd.com/en/forms/solutions-inquiry/media-and-entertainment.html</t>
  </si>
  <si>
    <t xml:space="preserve">Draft ready - needs manual CAPTCHA</t>
  </si>
  <si>
    <t xml:space="preserve">Form filled but blocked by reCAPTCHA - needs Aditya to submit manually. LinkedIn contacts (Vinay Sinha, Mukesh Bajpai) logged separately.</t>
  </si>
  <si>
    <t xml:space="preserve">DNEG India</t>
  </si>
  <si>
    <t xml:space="preserve">India</t>
  </si>
  <si>
    <t xml:space="preserve">2025 Oscar for Visual Effects, Dune: Part Two</t>
  </si>
  <si>
    <t xml:space="preserve">Organizer</t>
  </si>
  <si>
    <t xml:space="preserve">info@dneg.com</t>
  </si>
  <si>
    <t xml:space="preserve">pr@dneg.com</t>
  </si>
  <si>
    <t xml:space="preserve">Sent 3 Sep 2026 — Organizer track batch (media/VFX/exhibition pool).</t>
  </si>
  <si>
    <t xml:space="preserve">Red Chillies Entertainment (Redchillies.vfx)</t>
  </si>
  <si>
    <t xml:space="preserve">Best VFX, FICCI-BAF Awards 2024, for Dunki</t>
  </si>
  <si>
    <t xml:space="preserve">business@redchillies.com</t>
  </si>
  <si>
    <t xml:space="preserve">press@redchillies.com</t>
  </si>
  <si>
    <t xml:space="preserve">Applause Entertainment</t>
  </si>
  <si>
    <t xml:space="preserve">Story TV microdrama partnership, Mar 2026</t>
  </si>
  <si>
    <t xml:space="preserve">prasoon.garg@applause.adityabirla.com</t>
  </si>
  <si>
    <t xml:space="preserve">marketing@applause.adityabirla.com</t>
  </si>
  <si>
    <t xml:space="preserve">Mythri Movie Makers</t>
  </si>
  <si>
    <t xml:space="preserve">45+ film slate over 5 years announced Aug 2025</t>
  </si>
  <si>
    <t xml:space="preserve">info@mythrimoviemakers.com</t>
  </si>
  <si>
    <t xml:space="preserve">Wizcraft International Entertainment</t>
  </si>
  <si>
    <t xml:space="preserve">IIFA Awards organizer; launched Wizfilm production venture Feb 2024</t>
  </si>
  <si>
    <t xml:space="preserve">info@wizcraft.co</t>
  </si>
  <si>
    <t xml:space="preserve">Ramoji Film City</t>
  </si>
  <si>
    <t xml:space="preserve">Hosted Ramoji Excellence Awards 2025, Nov 2025</t>
  </si>
  <si>
    <t xml:space="preserve">info@ramojifilmcity.com</t>
  </si>
  <si>
    <t xml:space="preserve">avrao@ramojifilmcity.com</t>
  </si>
  <si>
    <t xml:space="preserve">Lyca Productions</t>
  </si>
  <si>
    <t xml:space="preserve">WAVES 2025 JV with Mahaveer Jain Films, 9 films over 3 years</t>
  </si>
  <si>
    <t xml:space="preserve">info@lycaproductions.in</t>
  </si>
  <si>
    <t xml:space="preserve">Prime Focus Technologies</t>
  </si>
  <si>
    <t xml:space="preserve">STAGE OTT partnership, May 2025 (CLEAR AI media platform)</t>
  </si>
  <si>
    <t xml:space="preserve">tshobhana@primefocustechnologies.com</t>
  </si>
  <si>
    <t xml:space="preserve">NY VFXWAALA</t>
  </si>
  <si>
    <t xml:space="preserve">Goodbye Kansas Studios stake acquisition, Mar 2024</t>
  </si>
  <si>
    <t xml:space="preserve">info@nyvfxwaala.com</t>
  </si>
  <si>
    <t xml:space="preserve">Qube Cinema Technologies</t>
  </si>
  <si>
    <t xml:space="preserve">Arts Alliance Media acquisition, Feb 2026</t>
  </si>
  <si>
    <t xml:space="preserve">sales@qubecinema.com</t>
  </si>
  <si>
    <t xml:space="preserve">Yash Raj Films</t>
  </si>
  <si>
    <t xml:space="preserve">Netflix classics deal Nov 2025; Hemant Kundnani elevated to Head of Marketing Sep 2026</t>
  </si>
  <si>
    <t xml:space="preserve">yashrajfilms.com/about-us/contactyrf/business-queries</t>
  </si>
  <si>
    <t xml:space="preserve">Form filled, blocked by text CAPTCHA - needs Aditya to complete and submit.</t>
  </si>
  <si>
    <t xml:space="preserve">Avid Technology</t>
  </si>
  <si>
    <t xml:space="preserve">Global enterprise</t>
  </si>
  <si>
    <t xml:space="preserve">Global</t>
  </si>
  <si>
    <t xml:space="preserve">Google Cloud agentic-AI editing partnership, Apr 2026</t>
  </si>
  <si>
    <t xml:space="preserve">partners@avid.com</t>
  </si>
  <si>
    <t xml:space="preserve">Sent 3 Sep 2026.</t>
  </si>
  <si>
    <t xml:space="preserve">Foundry</t>
  </si>
  <si>
    <t xml:space="preserve">Griptape Enterprise launch + Chief AI Officer hire, Jul 2026</t>
  </si>
  <si>
    <t xml:space="preserve">info@foundry.com</t>
  </si>
  <si>
    <t xml:space="preserve">Insta360</t>
  </si>
  <si>
    <t xml:space="preserve">X6 camera on-device AI editing launch, Aug 2025</t>
  </si>
  <si>
    <t xml:space="preserve">enterprise@insta360.com</t>
  </si>
  <si>
    <t xml:space="preserve">Envato</t>
  </si>
  <si>
    <t xml:space="preserve">Global creative/stock content platform</t>
  </si>
  <si>
    <t xml:space="preserve">Melbourne, Australia</t>
  </si>
  <si>
    <t xml:space="preserve">Stock content + AI creative-tools platform (Firefly-style AI features) used by filmmakers/editors — direct category fit for sponsorship/brand association</t>
  </si>
  <si>
    <t xml:space="preserve">business@envato.com</t>
  </si>
  <si>
    <t xml:space="preserve">Sent to business@envato.com (general business inquiries — no named partnerships contact found).</t>
  </si>
  <si>
    <t xml:space="preserve">Moonvalley AI</t>
  </si>
  <si>
    <t xml:space="preserve">Venture-funded AI video-generation company</t>
  </si>
  <si>
    <t xml:space="preserve">Los Angeles / Toronto</t>
  </si>
  <si>
    <t xml:space="preserve">Builds commercially-safe, licensed-data generative video model (Marey); backed by CAA and Comcast Ventures (~$84M round, Jul 2025) — strong category + values fit</t>
  </si>
  <si>
    <t xml:space="preserve">https://moonvalley.com/partner-with-us</t>
  </si>
  <si>
    <t xml:space="preserve">Genuine "Partner with us" form (studios/directors/filmmakers/agencies/advertisers/brands with taste) — filled and submitted successfully.</t>
  </si>
  <si>
    <t xml:space="preserve">GoPro</t>
  </si>
  <si>
    <t xml:space="preserve">Global consumer hardware / action camera</t>
  </si>
  <si>
    <t xml:space="preserve">San Mateo, USA</t>
  </si>
  <si>
    <t xml:space="preserve">Official Action Camera Partner of MotoGP and MXGP FIM Motocross World Championship — proven event-sponsorship spender, direct category fit for capturing filmmaking/POV content</t>
  </si>
  <si>
    <t xml:space="preserve">Sponsor@gopro.com</t>
  </si>
  <si>
    <t xml:space="preserve">Address is GoPro's confirmed sponsorship inbox but skews toward individual athlete/creator requests — flagged as a lower-confidence fit despite being a genuine channel. UPDATE 3 Sep: bounced — address defunct despite being GoPro's own confirmed sponsorship inbox.</t>
  </si>
  <si>
    <t xml:space="preserve">Christie Digital</t>
  </si>
  <si>
    <t xml:space="preserve">Cinema projection technology</t>
  </si>
  <si>
    <t xml:space="preserve">Cypress, USA / Kitchener, Canada</t>
  </si>
  <si>
    <t xml:space="preserve">Major cinema projector manufacturer (Disney digital cinema supply deal, widespread festival/theatrical exhibition use) — directly relevant to a film festival's exhibition side</t>
  </si>
  <si>
    <t xml:space="preserve">pr@christiedigital.com</t>
  </si>
  <si>
    <t xml:space="preserve">Own site explicitly types this address for "Public Relations or sponsorship" — qualifies as a real sponsorship channel, not just press.</t>
  </si>
  <si>
    <t xml:space="preserve">D-ID</t>
  </si>
  <si>
    <t xml:space="preserve">Venture-funded AI / Indian AI / Media conglomerate</t>
  </si>
  <si>
    <t xml:space="preserve">Israel</t>
  </si>
  <si>
    <t xml:space="preserve">Visual AI Agents / avatar tech, direct category fit</t>
  </si>
  <si>
    <t xml:space="preserve">sarah.schloss@headline.media</t>
  </si>
  <si>
    <t xml:space="preserve">2026-09-04</t>
  </si>
  <si>
    <t xml:space="preserve">Krea AI</t>
  </si>
  <si>
    <t xml:space="preserve">USA</t>
  </si>
  <si>
    <t xml:space="preserve">GenAI creative suite, $83M Series B, $500M valuation</t>
  </si>
  <si>
    <t xml:space="preserve">press@krea.ai</t>
  </si>
  <si>
    <t xml:space="preserve">Character.AI</t>
  </si>
  <si>
    <t xml:space="preserve">AI-native interactive storytelling ((c.ai) series)</t>
  </si>
  <si>
    <t xml:space="preserve">press@character.ai</t>
  </si>
  <si>
    <t xml:space="preserve">CoRover</t>
  </si>
  <si>
    <t xml:space="preserve">Indian AI success story, sovereign AI lab for Indian Army</t>
  </si>
  <si>
    <t xml:space="preserve">chat@CoRover.ai</t>
  </si>
  <si>
    <t xml:space="preserve">Haptik (Jio Haptik)</t>
  </si>
  <si>
    <t xml:space="preserve">Conversational AI, Reliance/Jio ecosystem reach</t>
  </si>
  <si>
    <t xml:space="preserve">enterprise@haptik.ai</t>
  </si>
  <si>
    <t xml:space="preserve">FICCI (Media &amp; Entertainment / FRAMES)</t>
  </si>
  <si>
    <t xml:space="preserve">India's flagship M&amp;E industry body, FICCI FRAMES 2026 is AI-themed</t>
  </si>
  <si>
    <t xml:space="preserve">Garima.singh@ficci.com</t>
  </si>
  <si>
    <t xml:space="preserve">JioStar (Jio Studios/Reliance Entertainment)</t>
  </si>
  <si>
    <t xml:space="preserve">Indian media/production house</t>
  </si>
  <si>
    <t xml:space="preserve">Largest Indian media conglomerate post Reliance-Disney merger, already producing AI content</t>
  </si>
  <si>
    <t xml:space="preserve">hello@jiostar.com</t>
  </si>
  <si>
    <t xml:space="preserve">Zee Entertainment Enterprises</t>
  </si>
  <si>
    <t xml:space="preserve">Major Indian media conglomerate, expanding Zee Studios slate</t>
  </si>
  <si>
    <t xml:space="preserve">media@zee.com</t>
  </si>
  <si>
    <t xml:space="preserve">Dharma Productions</t>
  </si>
  <si>
    <t xml:space="preserve">Major Bollywood production house, launching new distribution arm</t>
  </si>
  <si>
    <t xml:space="preserve">marketing@dharma-production.com</t>
  </si>
  <si>
    <t xml:space="preserve">IIFA (International Indian Film Academy)</t>
  </si>
  <si>
    <t xml:space="preserve">India's premier film awards/industry body, Partnerships desk explicitly covers sponsorship &amp; brand collaboration</t>
  </si>
  <si>
    <t xml:space="preserve">iifa.com/contact/</t>
  </si>
  <si>
    <t xml:space="preserve">NFDC (National Film Development Corporation) / WAVES Film Bazaar</t>
  </si>
  <si>
    <t xml:space="preserve">Government/Institutional body</t>
  </si>
  <si>
    <t xml:space="preserve">Government/Institutional — India's official film co-production &amp; market facilitation body</t>
  </si>
  <si>
    <t xml:space="preserve">coproduction@nfdcindia.com</t>
  </si>
  <si>
    <t xml:space="preserve">Maharashtra Film, Stage &amp; Cultural Development Corporation (Film City Mumbai)</t>
  </si>
  <si>
    <t xml:space="preserve">Government/Institutional — Maharashtra state film body, potential venue partner in Mumbai</t>
  </si>
  <si>
    <t xml:space="preserve">contact.filmcell@maharashtra.gov.in</t>
  </si>
  <si>
    <t xml:space="preserve">Four Seasons Hotel Mumbai</t>
  </si>
  <si>
    <t xml:space="preserve">Sponsor candidate — 5 Sep research batch</t>
  </si>
  <si>
    <t xml:space="preserve">Premium venue with a luxury-events sales lead named directly on the hotel's own press page</t>
  </si>
  <si>
    <t xml:space="preserve">agatha.gomes@fourseasons.com</t>
  </si>
  <si>
    <t xml:space="preserve">2026-09-05</t>
  </si>
  <si>
    <t xml:space="preserve">5 Sep research batch. Premium venue with a luxury-events sales lead named directly on the hotel's own press page</t>
  </si>
  <si>
    <t xml:space="preserve">Taj Hotels (IHCL)</t>
  </si>
  <si>
    <t xml:space="preserve">India's most recognized hospitality brand, dedicated events inbox</t>
  </si>
  <si>
    <t xml:space="preserve">meetings@ihcltata.com</t>
  </si>
  <si>
    <t xml:space="preserve">5 Sep research batch. India's most recognized hospitality brand, dedicated events inbox</t>
  </si>
  <si>
    <t xml:space="preserve">ITC Hotels</t>
  </si>
  <si>
    <t xml:space="preserve">Major Indian hospitality group with dedicated event infrastructure</t>
  </si>
  <si>
    <t xml:space="preserve">reservations@itchotels.com</t>
  </si>
  <si>
    <t xml:space="preserve">5 Sep research batch. Major Indian hospitality group with dedicated event infrastructure</t>
  </si>
  <si>
    <t xml:space="preserve">Grand Hyatt Mumbai</t>
  </si>
  <si>
    <t xml:space="preserve">Premium Mumbai venue with two dedicated sales/events addresses</t>
  </si>
  <si>
    <t xml:space="preserve">sales.ghmumbai@hyatt.com</t>
  </si>
  <si>
    <t xml:space="preserve">mumgh.snm@hyatt.com</t>
  </si>
  <si>
    <t xml:space="preserve">5 Sep research batch. Premium Mumbai venue with two dedicated sales/events addresses</t>
  </si>
  <si>
    <t xml:space="preserve">JW Marriott Mumbai Sahar</t>
  </si>
  <si>
    <t xml:space="preserve">Major Marriott property near the airport, active events business</t>
  </si>
  <si>
    <t xml:space="preserve">Already contacted by Aditya's other partner (confirmed 6 Sep)</t>
  </si>
  <si>
    <t xml:space="preserve">https://www.marriott.com/en-us/hotels/bomsa-jw-marriott-mumbai-sahar/events/</t>
  </si>
  <si>
    <t xml:space="preserve">Excluded - already contacted by partner</t>
  </si>
  <si>
    <t xml:space="preserve">5 Sep research batch. Major Marriott property near the airport, active events business</t>
  </si>
  <si>
    <t xml:space="preserve">Dabur India</t>
  </si>
  <si>
    <t xml:space="preserve">One of India's largest FMCG houses with a long history of cultural sponsorships</t>
  </si>
  <si>
    <t xml:space="preserve">corpcomm@dabur.com</t>
  </si>
  <si>
    <t xml:space="preserve">5 Sep research batch. One of India's largest FMCG houses with a long history of cultural sponsorships</t>
  </si>
  <si>
    <t xml:space="preserve">Paper Boat (Hector Beverages)</t>
  </si>
  <si>
    <t xml:space="preserve">Experiential-marketing-native beverage brand, natural fit for a festival activation</t>
  </si>
  <si>
    <t xml:space="preserve">paperboat@hectorbeverages.com</t>
  </si>
  <si>
    <t xml:space="preserve">5 Sep research batch. Experiential-marketing-native beverage brand, natural fit for a festival activation</t>
  </si>
  <si>
    <t xml:space="preserve">PhonePe</t>
  </si>
  <si>
    <t xml:space="preserve">India's largest UPI player, strong brand-visibility appetite</t>
  </si>
  <si>
    <t xml:space="preserve">pr@phonepe.com</t>
  </si>
  <si>
    <t xml:space="preserve">5 Sep research batch. India's largest UPI player, strong brand-visibility appetite</t>
  </si>
  <si>
    <t xml:space="preserve">SonyLIV (Culver Max Entertainment)</t>
  </si>
  <si>
    <t xml:space="preserve">Organizer candidate — 5 Sep research batch</t>
  </si>
  <si>
    <t xml:space="preserve">Major Indian OTT platform, natural distribution/organizer angle</t>
  </si>
  <si>
    <t xml:space="preserve">https://advertisewithus.sonyliv.com/</t>
  </si>
  <si>
    <t xml:space="preserve">5 Sep research batch. Major Indian OTT platform, natural distribution/organizer angle</t>
  </si>
  <si>
    <t xml:space="preserve">hoichoi</t>
  </si>
  <si>
    <t xml:space="preserve">Fast-growing regional OTT platform with a named partnerships routing</t>
  </si>
  <si>
    <t xml:space="preserve">support@hoichoi.tv</t>
  </si>
  <si>
    <t xml:space="preserve">5 Sep research batch. Fast-growing regional OTT platform with a named partnerships routing</t>
  </si>
  <si>
    <t xml:space="preserve">IndiaAI Mission (MeitY)</t>
  </si>
  <si>
    <t xml:space="preserve">India — Government</t>
  </si>
  <si>
    <t xml:space="preserve">India's flagship government AI initiative — direct institutional-partner analog for an AI film festival</t>
  </si>
  <si>
    <t xml:space="preserve">impactsummit-events@indiaai.gov.in</t>
  </si>
  <si>
    <t xml:space="preserve">impactsummit-comms@indiaai.gov.in</t>
  </si>
  <si>
    <t xml:space="preserve">5 Sep research batch. India's flagship government AI initiative — direct institutional-partner analog for an AI film festival</t>
  </si>
  <si>
    <t xml:space="preserve">CBFC (Central Board of Film Certification)</t>
  </si>
  <si>
    <t xml:space="preserve">Mumbai, India — Government</t>
  </si>
  <si>
    <t xml:space="preserve">India's film certification authority — institutional legitimacy for an AI-generated-film festival</t>
  </si>
  <si>
    <t xml:space="preserve">romum.cbfc@nic.in</t>
  </si>
  <si>
    <t xml:space="preserve">chairperson.cbfc@nic.in,ceo.cbfc@nic.in</t>
  </si>
  <si>
    <t xml:space="preserve">5 Sep research batch. India's film certification authority — institutional legitimacy for an AI-generated-film festival</t>
  </si>
  <si>
    <t xml:space="preserve">FTII (Film and Television Institute of India)</t>
  </si>
  <si>
    <t xml:space="preserve">Pune, India — Government</t>
  </si>
  <si>
    <t xml:space="preserve">India's premier film school — a natural jury/masterclass/academic-partner pipeline</t>
  </si>
  <si>
    <t xml:space="preserve">registrar@ftii.ac.in</t>
  </si>
  <si>
    <t xml:space="preserve">vc@ftii.ac.in</t>
  </si>
  <si>
    <t xml:space="preserve">5 Sep research batch. India's premier film school — a natural jury/masterclass/academic-partner pipeline</t>
  </si>
  <si>
    <t xml:space="preserve">SRFTI (Satyajit Ray Film and Television Institute)</t>
  </si>
  <si>
    <t xml:space="preserve">Kolkata, India — Government</t>
  </si>
  <si>
    <t xml:space="preserve">Leading Indian film institute with a digital-media specialization closest to AI filmmaking</t>
  </si>
  <si>
    <t xml:space="preserve">contact@srfti.ac.in</t>
  </si>
  <si>
    <t xml:space="preserve">dean.edm@srfti.ac.in</t>
  </si>
  <si>
    <t xml:space="preserve">5 Sep research batch. Leading Indian film institute with a digital-media specialization closest to AI filmmaking</t>
  </si>
  <si>
    <t xml:space="preserve">Startup Mahakumbh (FICCI / DPIIT)</t>
  </si>
  <si>
    <t xml:space="preserve">India — Government-linked</t>
  </si>
  <si>
    <t xml:space="preserve">Government-linked flagship startup platform, real named contact</t>
  </si>
  <si>
    <t xml:space="preserve">akshay.jain@ficci.com</t>
  </si>
  <si>
    <t xml:space="preserve">5 Sep research batch. Government-linked flagship startup platform, real named contact</t>
  </si>
  <si>
    <t xml:space="preserve">Maharashtra Directorate of Tourism</t>
  </si>
  <si>
    <t xml:space="preserve">State-government culture/tourism channel for an India-launch story based in Mumbai</t>
  </si>
  <si>
    <t xml:space="preserve">diot@maharashtratourism.gov.in</t>
  </si>
  <si>
    <t xml:space="preserve">5 Sep research batch. State-government culture/tourism channel for an India-launch story based in Mumbai</t>
  </si>
  <si>
    <t xml:space="preserve">Anthropic</t>
  </si>
  <si>
    <t xml:space="preserve">Leading AI lab, natural thought-leadership fit for an AI film festival</t>
  </si>
  <si>
    <t xml:space="preserve">press@anthropic.com</t>
  </si>
  <si>
    <t xml:space="preserve">5 Sep research batch. Leading AI lab, natural thought-leadership fit for an AI film festival</t>
  </si>
  <si>
    <t xml:space="preserve">Mistral AI</t>
  </si>
  <si>
    <t xml:space="preserve">France</t>
  </si>
  <si>
    <t xml:space="preserve">Major European AI lab with an events-scoped contact channel</t>
  </si>
  <si>
    <t xml:space="preserve">press@mistral.ai</t>
  </si>
  <si>
    <t xml:space="preserve">5 Sep research batch. Major European AI lab with an events-scoped contact channel</t>
  </si>
  <si>
    <t xml:space="preserve">Hugging Face</t>
  </si>
  <si>
    <t xml:space="preserve">The hub many AI filmmaking tools are built on top of</t>
  </si>
  <si>
    <t xml:space="preserve">press@huggingface.co</t>
  </si>
  <si>
    <t xml:space="preserve">5 Sep research batch. The hub many AI filmmaking tools are built on top of</t>
  </si>
  <si>
    <t xml:space="preserve">Magnific AI (Freepik)</t>
  </si>
  <si>
    <t xml:space="preserve">Spain</t>
  </si>
  <si>
    <t xml:space="preserve">AI upscaling/creative tool with a formal, named partner program — the strongest-typed match in this batch</t>
  </si>
  <si>
    <t xml:space="preserve">pr@magnific.com</t>
  </si>
  <si>
    <t xml:space="preserve">5 Sep research batch. AI upscaling/creative tool with a formal, named partner program — the strongest-typed match in this batch</t>
  </si>
  <si>
    <t xml:space="preserve">Deepgram</t>
  </si>
  <si>
    <t xml:space="preserve">Voice-AI infra vendor relevant to AI film sound/dubbing</t>
  </si>
  <si>
    <t xml:space="preserve">https://deepgram.com/partners</t>
  </si>
  <si>
    <t xml:space="preserve">5 Sep research batch. Voice-AI infra vendor relevant to AI film sound/dubbing</t>
  </si>
  <si>
    <t xml:space="preserve">AssemblyAI</t>
  </si>
  <si>
    <t xml:space="preserve">Speech recognition/AI infra relevant to AI film production pipelines</t>
  </si>
  <si>
    <t xml:space="preserve">https://www.assemblyai.com/contact/sales</t>
  </si>
  <si>
    <t xml:space="preserve">Closed - company declined</t>
  </si>
  <si>
    <t xml:space="preserve">5 Sep research batch. Speech recognition/AI infra relevant to AI film production pipelines</t>
  </si>
  <si>
    <t xml:space="preserve">Replicate</t>
  </si>
  <si>
    <t xml:space="preserve">Infrastructure layer for AI creative tooling</t>
  </si>
  <si>
    <t xml:space="preserve">https://replicate.com/enterprise</t>
  </si>
  <si>
    <t xml:space="preserve">5 Sep research batch. Infrastructure layer for AI creative tooling</t>
  </si>
  <si>
    <t xml:space="preserve">Leonardo AI</t>
  </si>
  <si>
    <t xml:space="preserve">Australia</t>
  </si>
  <si>
    <t xml:space="preserve">AI creative tool with growing enterprise reach</t>
  </si>
  <si>
    <t xml:space="preserve">https://leonardo.ai/contact-us</t>
  </si>
  <si>
    <t xml:space="preserve">5 Sep research batch. AI creative tool with growing enterprise reach</t>
  </si>
  <si>
    <t xml:space="preserve">Krikey AI</t>
  </si>
  <si>
    <t xml:space="preserve">AI animation/mocap tool, direct filmmaking-adjacent fit</t>
  </si>
  <si>
    <t xml:space="preserve">support@krikey.com</t>
  </si>
  <si>
    <t xml:space="preserve">5 Sep research batch. AI animation/mocap tool, direct filmmaking-adjacent fit</t>
  </si>
  <si>
    <t xml:space="preserve">ServiceNow</t>
  </si>
  <si>
    <t xml:space="preserve">Sponsor candidate — Gmail-audit backfill (sent 3-6 Sep)</t>
  </si>
  <si>
    <t xml:space="preserve">Global enterprise AI platform; CC'd press@/emeapr@/APJmedia@servicenow.com</t>
  </si>
  <si>
    <t xml:space="preserve">(cc/bcc only - see notes)</t>
  </si>
  <si>
    <t xml:space="preserve">AnalystRelations@servicenow.com; technology.partners@servicenow.com; ir@servicenow.com; mayuko.ogata@servicenow.com</t>
  </si>
  <si>
    <t xml:space="preserve">2026-09-06</t>
  </si>
  <si>
    <t xml:space="preserve">Gmail-audit backfill. Global enterprise AI platform; CC'd press@/emeapr@/APJmedia@servicenow.com</t>
  </si>
  <si>
    <t xml:space="preserve">Major AI compute/GPU vendor</t>
  </si>
  <si>
    <t xml:space="preserve">(undisclosed-recipients)</t>
  </si>
  <si>
    <t xml:space="preserve">corporate.pressinquiry@amd.com; phil.hughes@amd.com; amd.foundation@amd.com; legal@amd.com; aup@amd.com</t>
  </si>
  <si>
    <t xml:space="preserve">Gmail-audit backfill. Major AI compute/GPU vendor</t>
  </si>
  <si>
    <t xml:space="preserve">Intel</t>
  </si>
  <si>
    <t xml:space="preserve">oneventseries@intel.com bounced - address not found; other BCC addresses may have landed</t>
  </si>
  <si>
    <t xml:space="preserve">intel.startup.program@intel.com; ContactPR@intel.com; pressroompublishing@intel.com; oneventseries@intel.com</t>
  </si>
  <si>
    <t xml:space="preserve">Gmail-audit backfill. oneventseries@intel.com bounced - address not found; other BCC addresses may have landed</t>
  </si>
  <si>
    <t xml:space="preserve">Supermicro</t>
  </si>
  <si>
    <t xml:space="preserve">Taiwan/USA</t>
  </si>
  <si>
    <t xml:space="preserve">AI server/infra hardware vendor; CC marketing@supermicro.com</t>
  </si>
  <si>
    <t xml:space="preserve">Sales-Asia@supermicro.com.tw</t>
  </si>
  <si>
    <t xml:space="preserve">sales@interpromicro.com</t>
  </si>
  <si>
    <t xml:space="preserve">Gmail-audit backfill. AI server/infra hardware vendor; CC marketing@supermicro.com</t>
  </si>
  <si>
    <t xml:space="preserve">YuVerse</t>
  </si>
  <si>
    <t xml:space="preserve">AI decision-infra company</t>
  </si>
  <si>
    <t xml:space="preserve">connect@yuverse.ai</t>
  </si>
  <si>
    <t xml:space="preserve">Gmail-audit backfill. AI decision-infra company</t>
  </si>
  <si>
    <t xml:space="preserve">T-Hub</t>
  </si>
  <si>
    <t xml:space="preserve">Organizer candidate — Gmail-audit backfill (sent 3-6 Sep)</t>
  </si>
  <si>
    <t xml:space="preserve">India's largest startup incubator/ecosystem body</t>
  </si>
  <si>
    <t xml:space="preserve">thubip@t-hub.co</t>
  </si>
  <si>
    <t xml:space="preserve">contact@t-hub.co; leadership.office@t-hub.co; valuepartners@t-hub.co; events@t-hub.co</t>
  </si>
  <si>
    <t xml:space="preserve">Gmail-audit backfill. India's largest startup incubator/ecosystem body</t>
  </si>
  <si>
    <t xml:space="preserve">Inc42 Media</t>
  </si>
  <si>
    <t xml:space="preserve">India's largest tech/startup media platform - potential media partner</t>
  </si>
  <si>
    <t xml:space="preserve">editor@inc42.com</t>
  </si>
  <si>
    <t xml:space="preserve">Gmail-audit backfill. India's largest tech/startup media platform - potential media partner</t>
  </si>
  <si>
    <t xml:space="preserve">IA-Meetings</t>
  </si>
  <si>
    <t xml:space="preserve">Global (UK/AE/DE/SG)</t>
  </si>
  <si>
    <t xml:space="preserve">Global event management company; one BCC domain bounced</t>
  </si>
  <si>
    <t xml:space="preserve">sales@ia-meetings.com</t>
  </si>
  <si>
    <t xml:space="preserve">info@iameetings.uk (bounced); info@iameetings.ae; info@iameetings.de; info@iameetings.sg</t>
  </si>
  <si>
    <t xml:space="preserve">Gmail-audit backfill. Global event management company; one BCC domain bounced</t>
  </si>
  <si>
    <t xml:space="preserve">Pictory</t>
  </si>
  <si>
    <t xml:space="preserve">AI video creation platform (Pictory 2.0)</t>
  </si>
  <si>
    <t xml:space="preserve">marketing@pictory.ai</t>
  </si>
  <si>
    <t xml:space="preserve">Gmail-audit backfill. AI video creation platform (Pictory 2.0)</t>
  </si>
  <si>
    <t xml:space="preserve">Hedra</t>
  </si>
  <si>
    <t xml:space="preserve">AI avatar/generative media platform, $32M Series A</t>
  </si>
  <si>
    <t xml:space="preserve">info@hedra.com</t>
  </si>
  <si>
    <t xml:space="preserve">Gmail-audit backfill. AI avatar/generative media platform, $32M Series A</t>
  </si>
  <si>
    <t xml:space="preserve">Ola</t>
  </si>
  <si>
    <t xml:space="preserve">Major Indian mobility brand moving toward IPO (distinct from Ola Krutrim/Krutrim AI, already tracked separately)</t>
  </si>
  <si>
    <t xml:space="preserve">olacorporate.support@olacabs.com</t>
  </si>
  <si>
    <t xml:space="preserve">Gmail-audit backfill. Major Indian mobility brand moving toward IPO (distinct from Ola Krutrim/Krutrim AI, already tracked separately)</t>
  </si>
  <si>
    <t xml:space="preserve">Corsair</t>
  </si>
  <si>
    <t xml:space="preserve">AI hardware/workstation vendor (CORSAIR PRO line)</t>
  </si>
  <si>
    <t xml:space="preserve">IR@corsair.com</t>
  </si>
  <si>
    <t xml:space="preserve">Gmail-audit backfill. AI hardware/workstation vendor (CORSAIR PRO line)</t>
  </si>
  <si>
    <t xml:space="preserve">PixVerse</t>
  </si>
  <si>
    <t xml:space="preserve">China/Asia</t>
  </si>
  <si>
    <t xml:space="preserve">AI video unicorn, $300M round</t>
  </si>
  <si>
    <t xml:space="preserve">support@pixverse.ai</t>
  </si>
  <si>
    <t xml:space="preserve">Gmail-audit backfill. AI video unicorn, $300M round</t>
  </si>
  <si>
    <t xml:space="preserve">Recraft</t>
  </si>
  <si>
    <t xml:space="preserve">USA/EU</t>
  </si>
  <si>
    <t xml:space="preserve">Generative AI design platform, $30M Series B</t>
  </si>
  <si>
    <t xml:space="preserve">press@recraft.ai</t>
  </si>
  <si>
    <t xml:space="preserve">Gmail-audit backfill. Generative AI design platform, $30M Series B</t>
  </si>
  <si>
    <t xml:space="preserve">IndiGo</t>
  </si>
  <si>
    <t xml:space="preserve">India's largest airline, international expansion story</t>
  </si>
  <si>
    <t xml:space="preserve">corporate.communications@goindigo.in</t>
  </si>
  <si>
    <t xml:space="preserve">Gmail-audit backfill. India's largest airline, international expansion story</t>
  </si>
  <si>
    <t xml:space="preserve">Yashobhoomi IICC</t>
  </si>
  <si>
    <t xml:space="preserve">Major convention/expo venue in Delhi</t>
  </si>
  <si>
    <t xml:space="preserve">book@iiccnewdelhi.com</t>
  </si>
  <si>
    <t xml:space="preserve">Gmail-audit backfill. Major convention/expo venue in Delhi</t>
  </si>
  <si>
    <t xml:space="preserve">DLF</t>
  </si>
  <si>
    <t xml:space="preserve">Major Indian real estate/retail group, new mall launches</t>
  </si>
  <si>
    <t xml:space="preserve">enquiries@dlf.in</t>
  </si>
  <si>
    <t xml:space="preserve">Gmail-audit backfill. Major Indian real estate/retail group, new mall launches</t>
  </si>
  <si>
    <t xml:space="preserve">The Park Hotels</t>
  </si>
  <si>
    <t xml:space="preserve">Address not found - bounced, needs fresh contact if repursued</t>
  </si>
  <si>
    <t xml:space="preserve">communications@theparkhotels.com</t>
  </si>
  <si>
    <t xml:space="preserve">Gmail-audit backfill. Address not found - bounced, needs fresh contact if repursued</t>
  </si>
  <si>
    <t xml:space="preserve">Videndum</t>
  </si>
  <si>
    <t xml:space="preserve">UK</t>
  </si>
  <si>
    <t xml:space="preserve">Parent of Vinten/Teradek/SmallHD/Manfrotto, film production equipment</t>
  </si>
  <si>
    <t xml:space="preserve">info@videndum.com</t>
  </si>
  <si>
    <t xml:space="preserve">Gmail-audit backfill. Parent of Vinten/Teradek/SmallHD/Manfrotto, film production equipment</t>
  </si>
  <si>
    <t xml:space="preserve">Hollyland</t>
  </si>
  <si>
    <t xml:space="preserve">China</t>
  </si>
  <si>
    <t xml:space="preserve">Wireless video transmission systems, IBC 2026 exhibitor</t>
  </si>
  <si>
    <t xml:space="preserve">marketing@hollyland.com</t>
  </si>
  <si>
    <t xml:space="preserve">Gmail-audit backfill. Wireless video transmission systems, IBC 2026 exhibitor</t>
  </si>
  <si>
    <t xml:space="preserve">Godox</t>
  </si>
  <si>
    <t xml:space="preserve">Lighting/flash equipment for filmmakers</t>
  </si>
  <si>
    <t xml:space="preserve">marketing@godox.com</t>
  </si>
  <si>
    <t xml:space="preserve">Gmail-audit backfill. Lighting/flash equipment for filmmakers</t>
  </si>
  <si>
    <t xml:space="preserve">Micron</t>
  </si>
  <si>
    <t xml:space="preserve">AI memory/semiconductor, $2.75B India facility</t>
  </si>
  <si>
    <t xml:space="preserve">CORPCOMMS@micron.com</t>
  </si>
  <si>
    <t xml:space="preserve">Gmail-audit backfill. AI memory/semiconductor, $2.75B India facility</t>
  </si>
  <si>
    <t xml:space="preserve">Seagate</t>
  </si>
  <si>
    <t xml:space="preserve">Storage infra for AI/media, named contact</t>
  </si>
  <si>
    <t xml:space="preserve">ekaterina.wilk@seagate.com</t>
  </si>
  <si>
    <t xml:space="preserve">Gmail-audit backfill. Storage infra for AI/media, named contact</t>
  </si>
  <si>
    <t xml:space="preserve">Sigma</t>
  </si>
  <si>
    <t xml:space="preserve">Japan</t>
  </si>
  <si>
    <t xml:space="preserve">Cinema lens manufacturer</t>
  </si>
  <si>
    <t xml:space="preserve">pr@sigma-photo.co.jp</t>
  </si>
  <si>
    <t xml:space="preserve">Gmail-audit backfill. Cinema lens manufacturer</t>
  </si>
  <si>
    <t xml:space="preserve">ARRI</t>
  </si>
  <si>
    <t xml:space="preserve">Germany</t>
  </si>
  <si>
    <t xml:space="preserve">Premier cinema camera/color science brand</t>
  </si>
  <si>
    <t xml:space="preserve">infomea@arri.de</t>
  </si>
  <si>
    <t xml:space="preserve">Gmail-audit backfill. Premier cinema camera/color science brand</t>
  </si>
  <si>
    <t xml:space="preserve">DJI</t>
  </si>
  <si>
    <t xml:space="preserve">Drone/handheld cinema camera brand, Osmo Pocket 4P debuted at Cannes</t>
  </si>
  <si>
    <t xml:space="preserve">pr@dji.com</t>
  </si>
  <si>
    <t xml:space="preserve">Gmail-audit backfill. Drone/handheld cinema camera brand, Osmo Pocket 4P debuted at Cannes</t>
  </si>
  <si>
    <t xml:space="preserve">Adobe</t>
  </si>
  <si>
    <t xml:space="preserve">Adobe on Main / Sundance creative-tools sponsorship team - close analog</t>
  </si>
  <si>
    <t xml:space="preserve">sundanceff@adobe.com</t>
  </si>
  <si>
    <t xml:space="preserve">Gmail-audit backfill. Adobe on Main / Sundance creative-tools sponsorship team - close analog</t>
  </si>
  <si>
    <t xml:space="preserve">Autodesk</t>
  </si>
  <si>
    <t xml:space="preserve">Imagine Awards / creator-recognition program, named contact</t>
  </si>
  <si>
    <t xml:space="preserve">lipika.kapil@autodesk.com</t>
  </si>
  <si>
    <t xml:space="preserve">Gmail-audit backfill. Imagine Awards / creator-recognition program, named contact</t>
  </si>
  <si>
    <t xml:space="preserve">IBM</t>
  </si>
  <si>
    <t xml:space="preserve">Enterprise AI, OpenAI partnership</t>
  </si>
  <si>
    <t xml:space="preserve">ibmpress@us.ibm.com</t>
  </si>
  <si>
    <t xml:space="preserve">Gmail-audit backfill. Enterprise AI, OpenAI partnership</t>
  </si>
  <si>
    <t xml:space="preserve">Logitech</t>
  </si>
  <si>
    <t xml:space="preserve">Switzerland</t>
  </si>
  <si>
    <t xml:space="preserve">Creator-community brand, PLAY 2025 showcase</t>
  </si>
  <si>
    <t xml:space="preserve">mediarelations@logitech.com</t>
  </si>
  <si>
    <t xml:space="preserve">Gmail-audit backfill. Creator-community brand, PLAY 2025 showcase</t>
  </si>
  <si>
    <t xml:space="preserve">Digital Domain</t>
  </si>
  <si>
    <t xml:space="preserve">USA/China</t>
  </si>
  <si>
    <t xml:space="preserve">Major VFX studio, new DDAI creative-AI infrastructure</t>
  </si>
  <si>
    <t xml:space="preserve">yaqi.ren@ddhl.com</t>
  </si>
  <si>
    <t xml:space="preserve">colin.kwok@ddhl.com; arthur.ma@ddhl.com</t>
  </si>
  <si>
    <t xml:space="preserve">Gmail-audit backfill. Major VFX studio, new DDAI creative-AI infrastructure</t>
  </si>
  <si>
    <t xml:space="preserve">Weta FX</t>
  </si>
  <si>
    <t xml:space="preserve">New Zealand</t>
  </si>
  <si>
    <t xml:space="preserve">Premier VFX studio, new AMD AI-rendering partnership</t>
  </si>
  <si>
    <t xml:space="preserve">sales@wetafx.co.nz</t>
  </si>
  <si>
    <t xml:space="preserve">marketing@wetafx.co.nz</t>
  </si>
  <si>
    <t xml:space="preserve">Gmail-audit backfill. Premier VFX studio, new AMD AI-rendering partnership</t>
  </si>
  <si>
    <t xml:space="preserve">LG Electronics India</t>
  </si>
  <si>
    <t xml:space="preserve">Major consumer electronics brand, named contact, NSE listing news</t>
  </si>
  <si>
    <t xml:space="preserve">neeta.linz@lge.com</t>
  </si>
  <si>
    <t xml:space="preserve">Gmail-audit backfill. Major consumer electronics brand, named contact, NSE listing news</t>
  </si>
  <si>
    <t xml:space="preserve">Framestore</t>
  </si>
  <si>
    <t xml:space="preserve">Major VFX studio, 15 VES Award nominations</t>
  </si>
  <si>
    <t xml:space="preserve">marketing@framestore.com</t>
  </si>
  <si>
    <t xml:space="preserve">Gmail-audit backfill. Major VFX studio, 15 VES Award nominations</t>
  </si>
  <si>
    <t xml:space="preserve">Industrial Light &amp; Magic (ILM)</t>
  </si>
  <si>
    <t xml:space="preserve">Legendary VFX studio (Lucasfilm)</t>
  </si>
  <si>
    <t xml:space="preserve">publicity@ilm.com</t>
  </si>
  <si>
    <t xml:space="preserve">Gmail-audit backfill. Legendary VFX studio (Lucasfilm)</t>
  </si>
  <si>
    <t xml:space="preserve">CII (Confederation of Indian Industry)</t>
  </si>
  <si>
    <t xml:space="preserve">Institutional body, M&amp;E policy roadmap through 2030, named contact</t>
  </si>
  <si>
    <t xml:space="preserve">amita.sarkar@cii.in</t>
  </si>
  <si>
    <t xml:space="preserve">membership@cii.in</t>
  </si>
  <si>
    <t xml:space="preserve">Gmail-audit backfill. Institutional body, M&amp;E policy roadmap through 2030, named contact</t>
  </si>
  <si>
    <t xml:space="preserve">Startup India (DPIIT)</t>
  </si>
  <si>
    <t xml:space="preserve">Flagship government startup initiative, 10-year milestone</t>
  </si>
  <si>
    <t xml:space="preserve">SUIPartnership@investindia.org.in</t>
  </si>
  <si>
    <t xml:space="preserve">Gmail-audit backfill. Flagship government startup initiative, 10-year milestone</t>
  </si>
  <si>
    <t xml:space="preserve">The Oberoi Group</t>
  </si>
  <si>
    <t xml:space="preserve">Luxury hotel group, named contact, active expansion</t>
  </si>
  <si>
    <t xml:space="preserve">silki.sehgal@oberoigroup.com</t>
  </si>
  <si>
    <t xml:space="preserve">Gmail-audit backfill. Luxury hotel group, named contact, active expansion</t>
  </si>
  <si>
    <t xml:space="preserve">MPC (Moving Picture Company)</t>
  </si>
  <si>
    <t xml:space="preserve">France/Global</t>
  </si>
  <si>
    <t xml:space="preserve">Major VFX studio, named contact</t>
  </si>
  <si>
    <t xml:space="preserve">helene.vanovre@mpcvfx.com</t>
  </si>
  <si>
    <t xml:space="preserve">Gmail-audit backfill. Major VFX studio, named contact</t>
  </si>
  <si>
    <t xml:space="preserve">Shutterstock</t>
  </si>
  <si>
    <t xml:space="preserve">Stock/licensing platform, OpenAI data partnership</t>
  </si>
  <si>
    <t xml:space="preserve">press@shutterstock.com</t>
  </si>
  <si>
    <t xml:space="preserve">mediaalerts@shutterstock.com</t>
  </si>
  <si>
    <t xml:space="preserve">Gmail-audit backfill. Stock/licensing platform, OpenAI data partnership</t>
  </si>
  <si>
    <t xml:space="preserve">Microsoft</t>
  </si>
  <si>
    <t xml:space="preserve">Named contact bounced - address not found, needs fresh contact if repursued. $17.5B India AI investment is the hook.</t>
  </si>
  <si>
    <t xml:space="preserve">pallavi.walia@microsoft.com</t>
  </si>
  <si>
    <t xml:space="preserve">Gmail-audit backfill. Named contact bounced - address not found, needs fresh contact if repursued. $17.5B India AI investment is the hook.</t>
  </si>
  <si>
    <t xml:space="preserve">Quantiphi</t>
  </si>
  <si>
    <t xml:space="preserve">India/USA</t>
  </si>
  <si>
    <t xml:space="preserve">Applied AI/ML company, new CEO</t>
  </si>
  <si>
    <t xml:space="preserve">info@quantiphi.com</t>
  </si>
  <si>
    <t xml:space="preserve">Gmail-audit backfill. Applied AI/ML company, new CEO</t>
  </si>
  <si>
    <t xml:space="preserve">Google</t>
  </si>
  <si>
    <t xml:space="preserve">Google for Startups Accelerator: India cohort</t>
  </si>
  <si>
    <t xml:space="preserve">press@google.com</t>
  </si>
  <si>
    <t xml:space="preserve">Gmail-audit backfill. Google for Startups Accelerator: India cohort</t>
  </si>
  <si>
    <t xml:space="preserve">Meta</t>
  </si>
  <si>
    <t xml:space="preserve">Reliance Jamnagar AI data center partnership</t>
  </si>
  <si>
    <t xml:space="preserve">media@oculus.com</t>
  </si>
  <si>
    <t xml:space="preserve">Gmail-audit backfill. Reliance Jamnagar AI data center partnership</t>
  </si>
  <si>
    <t xml:space="preserve">boAt (Imagine Marketing)</t>
  </si>
  <si>
    <t xml:space="preserve">Major Indian consumer brand, moving toward public listing. REAL REPLY received - forwarded to concerned team, see Replies Tracker.</t>
  </si>
  <si>
    <t xml:space="preserve">info@imaginemarketingindia.com</t>
  </si>
  <si>
    <t xml:space="preserve">Gmail-audit backfill. Major Indian consumer brand, moving toward public listing. REAL REPLY received - forwarded to concerned team, see Replies Tracker.</t>
  </si>
  <si>
    <t xml:space="preserve">Gan.ai</t>
  </si>
  <si>
    <t xml:space="preserve">Personalized AI video generation, Indian AI-video company</t>
  </si>
  <si>
    <t xml:space="preserve">Support@gan.ai</t>
  </si>
  <si>
    <t xml:space="preserve">Gmail-audit backfill. Personalized AI video generation, Indian AI-video company</t>
  </si>
  <si>
    <t xml:space="preserve">Kling AI</t>
  </si>
  <si>
    <t xml:space="preserve">AI video model, ~$18B valuation, Tencent/Alibaba/Baidu backed</t>
  </si>
  <si>
    <t xml:space="preserve">support@kling.ai</t>
  </si>
  <si>
    <t xml:space="preserve">Gmail-audit backfill. AI video model, ~$18B valuation, Tencent/Alibaba/Baidu backed</t>
  </si>
  <si>
    <t xml:space="preserve">Suno</t>
  </si>
  <si>
    <t xml:space="preserve">AI music generation, $400M raise at $5B valuation</t>
  </si>
  <si>
    <t xml:space="preserve">support@suno.com</t>
  </si>
  <si>
    <t xml:space="preserve">Gmail-audit backfill. AI music generation, $400M raise at $5B valuation</t>
  </si>
  <si>
    <t xml:space="preserve">Excel Entertainment</t>
  </si>
  <si>
    <t xml:space="preserve">Major Bollywood production house, new-talent-backing mission (Excel Origins)</t>
  </si>
  <si>
    <t xml:space="preserve">script@exlent.com</t>
  </si>
  <si>
    <t xml:space="preserve">Gmail-audit backfill. Major Bollywood production house, new-talent-backing mission (Excel Origins)</t>
  </si>
  <si>
    <t xml:space="preserve">Miraj Entertainment (Cinemas)</t>
  </si>
  <si>
    <t xml:space="preserve">Fast-expanding Indian multiplex chain</t>
  </si>
  <si>
    <t xml:space="preserve">miraj@mirajgroup.in</t>
  </si>
  <si>
    <t xml:space="preserve">Gmail-audit backfill. Fast-expanding Indian multiplex chain</t>
  </si>
  <si>
    <t xml:space="preserve">Exhibitions India Group</t>
  </si>
  <si>
    <t xml:space="preserve">Major event/exhibition organizer (Convergence India, Bharat Mandapam)</t>
  </si>
  <si>
    <t xml:space="preserve">info@eigroup.in</t>
  </si>
  <si>
    <t xml:space="preserve">Gmail-audit backfill. Major event/exhibition organizer (Convergence India, Bharat Mandapam)</t>
  </si>
  <si>
    <t xml:space="preserve">Anibrain</t>
  </si>
  <si>
    <t xml:space="preserve">Indian VFX/animation studio with international credits</t>
  </si>
  <si>
    <t xml:space="preserve">connect@anibrain.com</t>
  </si>
  <si>
    <t xml:space="preserve">Gmail-audit backfill. Indian VFX/animation studio with international credits</t>
  </si>
  <si>
    <t xml:space="preserve">Cinepolis India</t>
  </si>
  <si>
    <t xml:space="preserve">Major multiplex chain, 489 screens/41 cities</t>
  </si>
  <si>
    <t xml:space="preserve">Support@cinepolis.com</t>
  </si>
  <si>
    <t xml:space="preserve">Gmail-audit backfill. Major multiplex chain, 489 screens/41 cities</t>
  </si>
  <si>
    <t xml:space="preserve">Ministry of Information &amp; Broadcasting</t>
  </si>
  <si>
    <t xml:space="preserve">Central govt ministry overseeing India's film/festival calendar (IFFI)</t>
  </si>
  <si>
    <t xml:space="preserve">rk.jena@gov.in</t>
  </si>
  <si>
    <t xml:space="preserve">Gmail-audit backfill. Central govt ministry overseeing India's film/festival calendar (IFFI)</t>
  </si>
  <si>
    <t xml:space="preserve">SteelSeries</t>
  </si>
  <si>
    <t xml:space="preserve">Denmark/USA</t>
  </si>
  <si>
    <t xml:space="preserve">affiliates@steelseries.com</t>
  </si>
  <si>
    <t xml:space="preserve">Perplexity AI</t>
  </si>
  <si>
    <t xml:space="preserve">Landed but only auto-replies/bot responses came back (publisher-program bot, support couldn't match account) - not a real lead yet, one BCC bounced</t>
  </si>
  <si>
    <t xml:space="preserve">partnerships@perplexity.ai</t>
  </si>
  <si>
    <t xml:space="preserve">business@perplexity.ai; india@perplexity.ai; support@perplexity.ai; api@perplexity.ai; publishers@perplexity.ai; assistant@perplexity.com (bounced)</t>
  </si>
  <si>
    <t xml:space="preserve">Gmail-audit backfill. Landed but only auto-replies/bot responses came back (publisher-program bot, support couldn't match account) - not a real lead yet, one BCC bounced</t>
  </si>
  <si>
    <t xml:space="preserve">Abundantia Entertainment</t>
  </si>
  <si>
    <t xml:space="preserve">LinkedIn-sourced contact (Vikram Malhotra) - connected on LinkedIn first, then emailed. Major Indian production house.</t>
  </si>
  <si>
    <t xml:space="preserve">vikram.malhotra@abundantiaent.com</t>
  </si>
  <si>
    <t xml:space="preserve">Gmail-audit backfill. LinkedIn-sourced contact (Vikram Malhotra) - connected on LinkedIn first, then emailed. Major Indian production house.</t>
  </si>
  <si>
    <t xml:space="preserve">vivo India</t>
  </si>
  <si>
    <t xml:space="preserve">Sponsor candidate — 6 Sep v3 quality batch</t>
  </si>
  <si>
    <t xml:space="preserve">ZEISS co-engineered flagship imaging brand with deep India marketing spend; camera-led storytelling is the natural bridge to a film festival</t>
  </si>
  <si>
    <t xml:space="preserve">india.pr@vivo.com</t>
  </si>
  <si>
    <t xml:space="preserve">6 Sep v3 batch. ZEISS co-engineered flagship imaging brand with deep India marketing spend; camera-led storytelling is the natural bridge to a film festival. Hook: vivo X300 Ultra India debut at INR 1,59,999, precision imaging co-engineered with ZEISS (vivo India newsroom)</t>
  </si>
  <si>
    <t xml:space="preserve">Swiggy</t>
  </si>
  <si>
    <t xml:space="preserve">Consumer brand with large, culturally-native marketing spend and demonstrated appetite for AI-led campaigns</t>
  </si>
  <si>
    <t xml:space="preserve">sanjana.shetty1@swiggy.in</t>
  </si>
  <si>
    <t xml:space="preserve">akanksha.j@swiggy.in</t>
  </si>
  <si>
    <t xml:space="preserve">6 Sep v3 batch. Consumer brand with large, culturally-native marketing spend and demonstrated appetite for AI-led campaigns. Hook: 'Swiggy Weekends' nationwide campaign and the AI-led 'Scan a Heart' Valentine's 2026 campaign (Storyboard18, MediaBrief)</t>
  </si>
  <si>
    <t xml:space="preserve">Bombay Exhibition Centre (NESCO)</t>
  </si>
  <si>
    <t xml:space="preserve">Organizer candidate — 6 Sep v3 quality batch</t>
  </si>
  <si>
    <t xml:space="preserve">Mumbai's largest private exhibition venue with the infrastructure and operating experience to co-host a festival, not just rent space</t>
  </si>
  <si>
    <t xml:space="preserve">contact@bombayexhibitioncenter.in</t>
  </si>
  <si>
    <t xml:space="preserve">6 Sep v3 batch. Mumbai's largest private exhibition venue with the infrastructure and operating experience to co-host a festival, not just rent space. Hook: BEC/NESCO hosts large-format national shows in Mumbai including PAMEX 2026 (venue event calendars)</t>
  </si>
  <si>
    <t xml:space="preserve">Kore.ai</t>
  </si>
  <si>
    <t xml:space="preserve">Hyderabad, India / Orlando, USA</t>
  </si>
  <si>
    <t xml:space="preserve">Indian-founded enterprise AI company with fresh growth capital and a global brand-building need</t>
  </si>
  <si>
    <t xml:space="preserve">press@kore.com</t>
  </si>
  <si>
    <t xml:space="preserve">6 Sep v3 batch. Indian-founded enterprise AI company with fresh growth capital and a global brand-building need. Hook: Kore.ai secured a $150M strategic growth investment from AllianceBernstein to scale agentic enterprise AI (kore.ai newsroom)</t>
  </si>
  <si>
    <t xml:space="preserve">Aputure</t>
  </si>
  <si>
    <t xml:space="preserve">China / USA / Singapore</t>
  </si>
  <si>
    <t xml:space="preserve">Cinema lighting brand whose customers are exactly the filmmakers WAiFF's competition draws; strong festival-activation fit</t>
  </si>
  <si>
    <t xml:space="preserve">marketing.asia@aputure.com</t>
  </si>
  <si>
    <t xml:space="preserve">marketing@aputure.com</t>
  </si>
  <si>
    <t xml:space="preserve">6 Sep v3 batch. Cinema lighting brand whose customers are exactly the filmmakers WAiFF's competition draws; strong festival-activation fit. Hook: Aputure STORM CS32 shown at NAB 2026 and NOVA II, the first Aputure panel light using the BLAIR-CG engine (Newsshooter, No Film School)</t>
  </si>
  <si>
    <t xml:space="preserve">Tata Communications</t>
  </si>
  <si>
    <t xml:space="preserve">Runs global media and entertainment infrastructure from Mumbai; the festival sits directly inside their customer category</t>
  </si>
  <si>
    <t xml:space="preserve">mansi.tiwari@tatacommunications.com</t>
  </si>
  <si>
    <t xml:space="preserve">6 Sep v3 batch. Runs global media and entertainment infrastructure from Mumbai; the festival sits directly inside their customer category. Hook: Tata Communications launched its Media Ecosystem to drive broadcast innovation, alongside Media Cloud Infrastructure Services (tatacommunications.com press release)</t>
  </si>
  <si>
    <t xml:space="preserve">Higgsfield AI</t>
  </si>
  <si>
    <t xml:space="preserve">One of the fastest-scaling generative video companies globally; AI filmmaking is literally its product category</t>
  </si>
  <si>
    <t xml:space="preserve">support@higgsfield.ai</t>
  </si>
  <si>
    <t xml:space="preserve">6 Sep v3 batch. One of the fastest-scaling generative video companies globally; AI filmmaking is literally its product category. Hook: Higgsfield raised $400M Series B at a $5.4B valuation with ~$700M annualized revenue, Aug 2026 (PR Newswire, SiliconANGLE)</t>
  </si>
  <si>
    <t xml:space="preserve">Tilta</t>
  </si>
  <si>
    <t xml:space="preserve">China / USA</t>
  </si>
  <si>
    <t xml:space="preserve">Camera support and cine accessories brand with an active launch cadence and a filmmaker-first audience</t>
  </si>
  <si>
    <t xml:space="preserve">sales@tilta.com</t>
  </si>
  <si>
    <t xml:space="preserve">6 Sep v3 batch. Camera support and cine accessories brand with an active launch cadence and a filmmaker-first audience. Hook: Tilta showed the Illusion magnetic filter system at Cine Gear 2026 and the Khronos PL lens line at NAB 2026 (Newsshooter, PetaPixel)</t>
  </si>
  <si>
    <t xml:space="preserve">Sofitel Mumbai BKC</t>
  </si>
  <si>
    <t xml:space="preserve">Luxury BKC property with a substantial meetings and events business; hospitality partner fit mirrors JW Marriott Cannes at the flagship</t>
  </si>
  <si>
    <t xml:space="preserve">h6451@sofitel.com</t>
  </si>
  <si>
    <t xml:space="preserve">6 Sep v3 batch. Luxury BKC property with a substantial meetings and events business; hospitality partner fit mirrors JW Marriott Cannes at the flagship. Hook: Sofitel Mumbai BKC operates a significant meetings and events business in Mumbai's BKC business district (sofitel.accor.com meetings page)</t>
  </si>
  <si>
    <t xml:space="preserve">Nothing India</t>
  </si>
  <si>
    <t xml:space="preserve">Consumer tech brand with proven appetite for real cultural-moment partnerships in India</t>
  </si>
  <si>
    <t xml:space="preserve">press@nothing.tech</t>
  </si>
  <si>
    <t xml:space="preserve">6 Sep v3 batch. Consumer tech brand with proven appetite for real cultural-moment partnerships in India. Hook: Phone (4b) RCB Edition launched in partnership with Royal Challengers Bengaluru, July 2026</t>
  </si>
  <si>
    <t xml:space="preserve">Trident Hotels (Trident BKC)</t>
  </si>
  <si>
    <t xml:space="preserve">BKC luxury property able to host delegates, jury and press together; mirrors the JW Marriott Cannes hospitality-partner model</t>
  </si>
  <si>
    <t xml:space="preserve">reservations@tridenthotels.com</t>
  </si>
  <si>
    <t xml:space="preserve">6 Sep v3 batch. BKC luxury property able to host delegates, jury and press together; mirrors the JW Marriott Cannes hospitality-partner model. Hook: Trident Bandra Kurla operates a significant events and banquets business in Mumbai BKC</t>
  </si>
  <si>
    <t xml:space="preserve">Titan Company (Tanishq)</t>
  </si>
  <si>
    <t xml:space="preserve">Sponsor candidate — 6 Sep brand-visibility batch</t>
  </si>
  <si>
    <t xml:space="preserve">Luxury jewellery brand in expansion mode; red-carpet cultural events are the natural setting for the category</t>
  </si>
  <si>
    <t xml:space="preserve">vandana.m@adfactorspr.com</t>
  </si>
  <si>
    <t xml:space="preserve">6 Sep brand-visibility batch. Luxury jewellery brand in expansion mode; red-carpet cultural events are the natural setting for the category. Hook: Tanishq eyeing a bigger share of the jewellery market and building manufacturing beyond India (Titan Company newsroom). NOTE: this is Titan's OFFICIALLY PUBLISHED press contact on titancompany.in, but it is an AdFactors PR agency address, not an @titan domain. Published by the company so it is a legitimate TO, but expect an agency routing step.</t>
  </si>
  <si>
    <t xml:space="preserve">Air India</t>
  </si>
  <si>
    <t xml:space="preserve">National carrier mid-transformation with a global-brand rebuild; festival brings international jury, artists and press into India</t>
  </si>
  <si>
    <t xml:space="preserve">corpcomm@airindia.com</t>
  </si>
  <si>
    <t xml:space="preserve">6 Sep brand-visibility batch. National carrier mid-transformation with a global-brand rebuild; festival brings international jury, artists and press into India. Hook: CEO signalled 2026 as a year of transformation, fleet upgrades, new global lounges, international route expansion to Canada/UK/Australia. </t>
  </si>
  <si>
    <t xml:space="preserve">Oberoi Realty</t>
  </si>
  <si>
    <t xml:space="preserve">Mumbai luxury developer whose buyer profile overlaps directly with a red-carpet festival audience; bd@ is an explicit business-development desk</t>
  </si>
  <si>
    <t xml:space="preserve">bd@oberoirealty.com</t>
  </si>
  <si>
    <t xml:space="preserve">6 Sep brand-visibility batch. Mumbai luxury developer whose buyer profile overlaps directly with a red-carpet festival audience; bd@ is an explicit business-development desk. Hook: FY27 project pipeline announced across Mumbai, Thane and Alibaug on top of the existing rental portfolio. </t>
  </si>
  <si>
    <t xml:space="preserve">Diageo India</t>
  </si>
  <si>
    <t xml:space="preserve">Premium spirits company with a proven record of building brands inside cultural events, not beside them</t>
  </si>
  <si>
    <t xml:space="preserve">Contactus.india@diageo.com</t>
  </si>
  <si>
    <t xml:space="preserve">6 Sep brand-visibility batch. Premium spirits company with a proven record of building brands inside cultural events, not beside them. Hook: Godawan artisanal single malt crossed 125 global awards; Spirits by the Shore 2026 returned to Goa built around it. Generic company inbox used under the volume-day relaxed bar. Ask routes to a brand/partnerships owner.</t>
  </si>
  <si>
    <t xml:space="preserve">Ultraviolette Automotive</t>
  </si>
  <si>
    <t xml:space="preserve">Design-led Indian EV brand with global ambitions; cultural association converts better than performance marketing for this profile</t>
  </si>
  <si>
    <t xml:space="preserve">info@ultraviolette.com</t>
  </si>
  <si>
    <t xml:space="preserve">6 Sep brand-visibility batch. Design-led Indian EV brand with global ambitions; cultural association converts better than performance marketing for this profile. Hook: Ultraviolette Tesseract and its position as a design-led Indian electric vehicle brand. Generic published inbox under the volume-day relaxed bar. Requested by Aditya by name.</t>
  </si>
  <si>
    <t xml:space="preserve">Blackmagic Design</t>
  </si>
  <si>
    <t xml:space="preserve">Sponsor candidate — 6 Sep form batch</t>
  </si>
  <si>
    <t xml:space="preserve">Australia / Global</t>
  </si>
  <si>
    <t xml:space="preserve">DaVinci Resolve and Blackmagic cameras are used by a large share of the independent and AI-assisted filmmakers entering the competition</t>
  </si>
  <si>
    <t xml:space="preserve">https://www.blackmagicdesign.com/company/partnershipenquiry</t>
  </si>
  <si>
    <t xml:space="preserve">Form submitted 6 Sep, confirmed by Aditya. DaVinci Resolve and Blackmagic cameras are used by a large share of the independent and AI-assisted filmmakers entering the competition</t>
  </si>
  <si>
    <t xml:space="preserve">Cohere</t>
  </si>
  <si>
    <t xml:space="preserve">Sponsor candidate — 6 Sep, form-gate rerouted to email</t>
  </si>
  <si>
    <t xml:space="preserve">Canada / Global</t>
  </si>
  <si>
    <t xml:space="preserve">Enterprise AI company leading on sovereign AI, a theme with unusual weight in India; festival puts AI in front of a cultural rather than developer audience</t>
  </si>
  <si>
    <t xml:space="preserve">support@cohere.com</t>
  </si>
  <si>
    <t xml:space="preserve">https://cohere.com/partners/application (SKIPPED - reseller programme, gated)</t>
  </si>
  <si>
    <t xml:space="preserve">Form-gate rule applied (brief section 19): cohere.com/partners/application is a technology/reseller partner programme, not a sponsorship desk, and is credential-gated. Form SKIPPED deliberately. Emailed the published support@cohere.com instead with an explicit request to route to brand partnerships. Hook: Cohere leading on sovereign AI adoption for enterprise leaders, observed on cohere.com 6 Sep.</t>
  </si>
  <si>
    <t xml:space="preserve">Aditya Birla Fashion &amp; Retail (ABFRL)</t>
  </si>
  <si>
    <t xml:space="preserve">Sponsor candidate — 6 Sep niche-breadth batch</t>
  </si>
  <si>
    <t xml:space="preserve">Major Indian fashion group; a red-carpet festival is a dressing moment, not a media buy</t>
  </si>
  <si>
    <t xml:space="preserve">janet.arole@abfrl.adityabirla.com</t>
  </si>
  <si>
    <t xml:space="preserve">6 Sep niche-breadth batch. Major Indian fashion group; a red-carpet festival is a dressing moment, not a media buy. Hook: Jaypore showcased Tangaliya craft heritage at Bharat Tex 2026 (ABFRL press releases, 16 Jul 2026)</t>
  </si>
  <si>
    <t xml:space="preserve">Emami</t>
  </si>
  <si>
    <t xml:space="preserve">Kolkata, India</t>
  </si>
  <si>
    <t xml:space="preserve">FMCG group making a large new-brand bet that needs early cultural visibility</t>
  </si>
  <si>
    <t xml:space="preserve">contact@emamigroup.com</t>
  </si>
  <si>
    <t xml:space="preserve">6 Sep niche-breadth batch. FMCG group making a large new-brand bet that needs early cultural visibility. Hook: Emami Agrotech unveiled snacking brand WeMe on a ~Rs 750 crore investment, targeting Rs 1,000 crore revenue</t>
  </si>
  <si>
    <t xml:space="preserve">Bharti Airtel</t>
  </si>
  <si>
    <t xml:space="preserve">Telecom major investing in digital infrastructure while needing mass consumer brand presence</t>
  </si>
  <si>
    <t xml:space="preserve">corporate.communications1@airtel.com</t>
  </si>
  <si>
    <t xml:space="preserve">6 Sep niche-breadth batch. Telecom major investing in digital infrastructure while needing mass consumer brand presence. Hook: Airtel Business and ITI Limited strategic partnership on enterprise connectivity, data centres and sovereign cloud (Aug 2026)</t>
  </si>
  <si>
    <t xml:space="preserve">Together AI</t>
  </si>
  <si>
    <t xml:space="preserve">Open-model AI infrastructure provider; many festival entries are generated on open models running on this layer</t>
  </si>
  <si>
    <t xml:space="preserve">press@together.ai</t>
  </si>
  <si>
    <t xml:space="preserve">6 Sep niche-breadth batch. Open-model AI infrastructure provider; many festival entries are generated on open models running on this layer. Hook: ATLAS adaptive speculator delivering a 400% inference speedup, alongside momentum in open-source AI adoption (together.ai press)</t>
  </si>
  <si>
    <t xml:space="preserve">WAIFF India — LinkedIn Tracker (80 profiles/week, one dated batch at a time)</t>
  </si>
  <si>
    <t xml:space="preserve">Source only from companies already in the email batch — no separate LinkedIn universe. No repeats, ever. Row 4 is an example only.</t>
  </si>
  <si>
    <t xml:space="preserve">Batch #</t>
  </si>
  <si>
    <t xml:space="preserve">Batch date</t>
  </si>
  <si>
    <t xml:space="preserve">Name</t>
  </si>
  <si>
    <t xml:space="preserve">Title</t>
  </si>
  <si>
    <t xml:space="preserve">Profile URL</t>
  </si>
  <si>
    <t xml:space="preserve">Sourced from an email-batch company? (Y/N)</t>
  </si>
  <si>
    <t xml:space="preserve">Connection sent date</t>
  </si>
  <si>
    <t xml:space="preserve">Connection status</t>
  </si>
  <si>
    <t xml:space="preserve">Message sent date</t>
  </si>
  <si>
    <t xml:space="preserve">Reply? (Y/N)</t>
  </si>
  <si>
    <t xml:space="preserve">Reply date</t>
  </si>
  <si>
    <t xml:space="preserve">Follow-up date</t>
  </si>
  <si>
    <t xml:space="preserve">Jane Doe</t>
  </si>
  <si>
    <t xml:space="preserve">Head of Partnerships</t>
  </si>
  <si>
    <t xml:space="preserve">https://www.linkedin.com/in/example-profile</t>
  </si>
  <si>
    <t xml:space="preserve">Pending</t>
  </si>
  <si>
    <t xml:space="preserve">Michelle Kwon</t>
  </si>
  <si>
    <t xml:space="preserve">Head of Operations and Partnerships</t>
  </si>
  <si>
    <t xml:space="preserve">https://www.linkedin.com/in/michelleskwon/</t>
  </si>
  <si>
    <t xml:space="preserve">Connection note: Hi Michelle, following Runway's Gen-4.5 and the Lionsgate deal closely. I'm building the founding sponsor group for WAiFF's India edition, launching December 2026. Would love to connect.</t>
  </si>
  <si>
    <t xml:space="preserve">Tony Pu</t>
  </si>
  <si>
    <t xml:space="preserve">Community &amp; Partnerships</t>
  </si>
  <si>
    <t xml:space="preserve">Kuaishou / Kling AI</t>
  </si>
  <si>
    <t xml:space="preserve">https://www.linkedin.com/in/tpu0817/</t>
  </si>
  <si>
    <t xml:space="preserve">Connection note: Hi Tony, Kling AI's growth this year has been remarkable. I'm the India Ambassador for WAiFF, the AI film festival held at Cannes, building our India sponsor group. Would love to connect.</t>
  </si>
  <si>
    <t xml:space="preserve">Paras Jain</t>
  </si>
  <si>
    <t xml:space="preserve">Genmo (title unconfirmed)</t>
  </si>
  <si>
    <t xml:space="preserve">https://www.linkedin.com/in/jain-paras/</t>
  </si>
  <si>
    <t xml:space="preserve">Connection note: Hi Paras, Mochi 1's open approach to text-to-video stood out to me. I'm building the founding sponsor group for WAiFF India, launching December 2026. Would love to connect.</t>
  </si>
  <si>
    <t xml:space="preserve">Franz-Josef Schrepf</t>
  </si>
  <si>
    <t xml:space="preserve">Revenue &amp; Partnerships</t>
  </si>
  <si>
    <t xml:space="preserve">OpusClip</t>
  </si>
  <si>
    <t xml:space="preserve">https://www.linkedin.com/in/franz-josef-schrepf/</t>
  </si>
  <si>
    <t xml:space="preserve">Connection note: Hi Franz-Josef, congrats on the SoftBank Vision Fund 2 investment. I'm the India Ambassador for WAiFF, the AI film festival at Cannes, building our India sponsor group. Would love to connect.</t>
  </si>
  <si>
    <t xml:space="preserve">Callie Costello</t>
  </si>
  <si>
    <t xml:space="preserve">Product &amp; Brand Marketing</t>
  </si>
  <si>
    <t xml:space="preserve">Mirage (Captions)</t>
  </si>
  <si>
    <t xml:space="preserve">https://www.linkedin.com/in/calliegcostello/</t>
  </si>
  <si>
    <t xml:space="preserve">Connection note: Hi Callie, congrats on the $75M raise and the Asia expansion. I'm building the founding sponsor group for WAiFF's India edition, launching December 2026. Would love to connect.</t>
  </si>
  <si>
    <t xml:space="preserve">Ross Shain</t>
  </si>
  <si>
    <t xml:space="preserve">Principal Creative Technologist</t>
  </si>
  <si>
    <t xml:space="preserve">https://www.linkedin.com/in/rshain/</t>
  </si>
  <si>
    <t xml:space="preserve">Connection note: Hi Ross, the Next-Gen model launch and NeuroStream tech are impressive. I'm the India Ambassador for WAiFF, the AI film festival at Cannes, building our India sponsor group. Would love to connect.</t>
  </si>
  <si>
    <t xml:space="preserve">Michelle Belcic</t>
  </si>
  <si>
    <t xml:space="preserve">VP Sales &amp; Partnerships</t>
  </si>
  <si>
    <t xml:space="preserve">Photoroom</t>
  </si>
  <si>
    <t xml:space="preserve">https://fr.linkedin.com/in/michellebelcic</t>
  </si>
  <si>
    <t xml:space="preserve">Connection note: Hi Michelle, Photoroom's H1 2026 product recap was impressive. I'm building the founding sponsor group for WAiFF's India edition, launching December 2026. Would love to connect.</t>
  </si>
  <si>
    <t xml:space="preserve">Anthony Ganjou</t>
  </si>
  <si>
    <t xml:space="preserve">Co-Founder</t>
  </si>
  <si>
    <t xml:space="preserve">Move AI</t>
  </si>
  <si>
    <t xml:space="preserve">https://www.linkedin.com/in/anthonyganjou/</t>
  </si>
  <si>
    <t xml:space="preserve">Connection note: Hi Anthony, Move AI's marker-less mocap work with studios like Disney and Paramount is exactly the kind of tool WAiFF's filmmakers need. Building our India sponsor group. Would love to connect.</t>
  </si>
  <si>
    <t xml:space="preserve">Sofía Goble</t>
  </si>
  <si>
    <t xml:space="preserve">Operations (unconfirmed current role)</t>
  </si>
  <si>
    <t xml:space="preserve">Cuebric</t>
  </si>
  <si>
    <t xml:space="preserve">https://www.linkedin.com/in/sof%C3%ADa-goble-17a56a1a3/</t>
  </si>
  <si>
    <t xml:space="preserve">Connection note: Hi Sofía, Cuebric's virtual-production work with Disguise caught my eye. I'm building the founding sponsor group for WAiFF's India edition, launching December 2026. Would love to connect.</t>
  </si>
  <si>
    <t xml:space="preserve">Parthajit Sar</t>
  </si>
  <si>
    <t xml:space="preserve">Marketing programs</t>
  </si>
  <si>
    <t xml:space="preserve">https://in.linkedin.com/in/parthajit-sar</t>
  </si>
  <si>
    <t xml:space="preserve">Connection note: Hi Parthajit, NVIDIA's Cosmos 3 Edge announcement at SIGGRAPH was a big one for AI filmmaking. I'm building WAiFF's India sponsor group, launching December 2026. Would love to connect.</t>
  </si>
  <si>
    <t xml:space="preserve">Vishal Dhupar</t>
  </si>
  <si>
    <t xml:space="preserve">Managing Director, Asia South</t>
  </si>
  <si>
    <t xml:space="preserve">https://in.linkedin.com/in/vishaldhupar</t>
  </si>
  <si>
    <t xml:space="preserve">Connection note: Hi Vishal, I'm the India Ambassador for WAiFF, the AI film festival held at Cannes, building our founding India sponsor group launching December 2026. Would love to connect.</t>
  </si>
  <si>
    <t xml:space="preserve">Vinay Sinha</t>
  </si>
  <si>
    <t xml:space="preserve">Managing Director, Sales, AMD India</t>
  </si>
  <si>
    <t xml:space="preserve">https://www.linkedin.com/in/vinay-sinha-33092389/</t>
  </si>
  <si>
    <t xml:space="preserve">Connection note: Hi Vinay, AMD's partnership with S8UL and Revenant Esports for India's creator ecosystem stood out. I'm building WAiFF's India sponsor group, launching December 2026. Would love to connect.</t>
  </si>
  <si>
    <t xml:space="preserve">Mukesh Bajpai</t>
  </si>
  <si>
    <t xml:space="preserve">Marketing Head, AMD India</t>
  </si>
  <si>
    <t xml:space="preserve">https://in.linkedin.com/in/mukeshbajpai</t>
  </si>
  <si>
    <t xml:space="preserve">Connection note: Hi Mukesh, I'm the India Ambassador for WAiFF, the AI film festival held at Cannes, building our founding India sponsor group. Would love to connect.</t>
  </si>
  <si>
    <t xml:space="preserve">Apurva Jani</t>
  </si>
  <si>
    <t xml:space="preserve">Director of Marketing, India Region</t>
  </si>
  <si>
    <t xml:space="preserve">https://www.linkedin.com/in/apurva-jani/</t>
  </si>
  <si>
    <t xml:space="preserve">Connection note: Hi Apurva, the Core Ultra Series 3 AI PC launch was a big move. I'm building the founding sponsor group for WAiFF's India edition, launching December 2026. Would love to connect.</t>
  </si>
  <si>
    <t xml:space="preserve">Sumit Sonal</t>
  </si>
  <si>
    <t xml:space="preserve">Head of Marketing, Qualcomm India</t>
  </si>
  <si>
    <t xml:space="preserve">https://in.linkedin.com/in/sumitsonal</t>
  </si>
  <si>
    <t xml:space="preserve">Connection note: Hi Sumit, Snapdragon For India 2026 was a strong show of commitment to the market. I'm building WAiFF's India sponsor group, launching December 2026. Would love to connect.</t>
  </si>
  <si>
    <t xml:space="preserve">Nimit Jain</t>
  </si>
  <si>
    <t xml:space="preserve">Marketing Communications Head</t>
  </si>
  <si>
    <t xml:space="preserve">https://in.linkedin.com/in/nimit-jain-59b76457</t>
  </si>
  <si>
    <t xml:space="preserve">Connection note: Hi Nimit, the ILCE-7V launch with AI Auto Framing is a great filmmaker's tool. I'm building WAiFF's India sponsor group, launching December 2026. Would love to connect.</t>
  </si>
  <si>
    <t xml:space="preserve">Manu Bhatia</t>
  </si>
  <si>
    <t xml:space="preserve">Channel Marketing Head</t>
  </si>
  <si>
    <t xml:space="preserve">Canon India</t>
  </si>
  <si>
    <t xml:space="preserve">https://www.linkedin.com/in/manu-bhatia-b0845a13/</t>
  </si>
  <si>
    <t xml:space="preserve">Connection note: Hi Manu, congrats on Canon's 23rd year at #1 in interchangeable-lens cameras. I'm building the founding sponsor group for WAiFF's India edition. Would love to connect.</t>
  </si>
  <si>
    <t xml:space="preserve">Medha Mehrotra</t>
  </si>
  <si>
    <t xml:space="preserve">Digital Marketing Manager</t>
  </si>
  <si>
    <t xml:space="preserve">Nikon India</t>
  </si>
  <si>
    <t xml:space="preserve">https://in.linkedin.com/in/medhamehrotra</t>
  </si>
  <si>
    <t xml:space="preserve">Connection note: Hi Medha, the Nikon ZR launch off the back of the RED acquisition is a big moment for filmmakers. I'm building WAiFF's India sponsor group. Would love to connect.</t>
  </si>
  <si>
    <t xml:space="preserve">Vedansh Kumar</t>
  </si>
  <si>
    <t xml:space="preserve">Chief Marketing Officer</t>
  </si>
  <si>
    <t xml:space="preserve">boAt</t>
  </si>
  <si>
    <t xml:space="preserve">https://in.linkedin.com/in/vedanshkumar17</t>
  </si>
  <si>
    <t xml:space="preserve">Connection note: Hi Vedansh, the Netflix India x boAt PartyPal 700 campaign was a great execution. I'm building the founding sponsor group for WAiFF's India edition. Would love to connect.</t>
  </si>
  <si>
    <t xml:space="preserve">Nikunj Goyal</t>
  </si>
  <si>
    <t xml:space="preserve">Design Lead, Gaming &amp; Interactive Experiences</t>
  </si>
  <si>
    <t xml:space="preserve">https://www.linkedin.com/in/goyalnikunj/</t>
  </si>
  <si>
    <t xml:space="preserve">Connection note: Hi Nikunj, I'm the India Ambassador for WAiFF, the AI film festival held at Cannes, building our founding India sponsor group. Would love to connect.</t>
  </si>
  <si>
    <t xml:space="preserve">Mansi Sharma</t>
  </si>
  <si>
    <t xml:space="preserve">Regional Marketing Manager</t>
  </si>
  <si>
    <t xml:space="preserve">https://in.linkedin.com/in/mansi-sharma-ba3a91120</t>
  </si>
  <si>
    <t xml:space="preserve">Connection note: Hi Mansi, the Zeb-PixaPlay 72 Plus launch caught my eye. I'm building the founding sponsor group for WAiFF's India edition, launching December 2026. Would love to connect.</t>
  </si>
  <si>
    <t xml:space="preserve">Gaurav Baid</t>
  </si>
  <si>
    <t xml:space="preserve">Senior Marketing Manager</t>
  </si>
  <si>
    <t xml:space="preserve">https://in.linkedin.com/in/gaurav-baid</t>
  </si>
  <si>
    <t xml:space="preserve">Connection note: Hi Gaurav, I'm the India Ambassador for WAiFF, the AI film festival held at Cannes, building our founding India sponsor group. Would love to connect.</t>
  </si>
  <si>
    <t xml:space="preserve">Riyan Saxena</t>
  </si>
  <si>
    <t xml:space="preserve">Noise</t>
  </si>
  <si>
    <t xml:space="preserve">https://in.linkedin.com/in/riyan-saxena-709606282</t>
  </si>
  <si>
    <t xml:space="preserve">Connection note: Hi Riyan, the Noise x TVS iQube EV-smartwatch integration was a smart move. I'm building WAiFF's India sponsor group, launching December 2026. Would love to connect.</t>
  </si>
  <si>
    <t xml:space="preserve">Akshay Khatri</t>
  </si>
  <si>
    <t xml:space="preserve">Senior Manager Marketing (D2C Head)</t>
  </si>
  <si>
    <t xml:space="preserve">https://in.linkedin.com/in/akshaykhatri-nmims</t>
  </si>
  <si>
    <t xml:space="preserve">Connection note: Hi Akshay, I'm the India Ambassador for WAiFF, the AI film festival held at Cannes, building our founding India sponsor group. Would love to connect.</t>
  </si>
  <si>
    <t xml:space="preserve">Pratibha Nileshwar</t>
  </si>
  <si>
    <t xml:space="preserve">Experiential Marketing Manager</t>
  </si>
  <si>
    <t xml:space="preserve">Dell Technologies</t>
  </si>
  <si>
    <t xml:space="preserve">https://www.linkedin.com/in/pratibha-nileshwar/</t>
  </si>
  <si>
    <t xml:space="preserve">Connection note: Hi Pratibha, the Alienware x Jemimah Rodrigues campaign for student creators was a great fit. I'm building WAiFF's India sponsor group, launching December 2026. Would love to connect.</t>
  </si>
  <si>
    <t xml:space="preserve">Sachin Menon</t>
  </si>
  <si>
    <t xml:space="preserve">National Manager Marketing</t>
  </si>
  <si>
    <t xml:space="preserve">Dell</t>
  </si>
  <si>
    <t xml:space="preserve">https://in.linkedin.com/in/sachin-menon-b4887518</t>
  </si>
  <si>
    <t xml:space="preserve">Connection note: Hi Sachin, I'm the India Ambassador for WAiFF, the AI film festival held at Cannes, building our founding India sponsor group. Would love to connect.</t>
  </si>
  <si>
    <t xml:space="preserve">Piyush Mittal</t>
  </si>
  <si>
    <t xml:space="preserve">Channel Marketing Manager</t>
  </si>
  <si>
    <t xml:space="preserve">ASUS</t>
  </si>
  <si>
    <t xml:space="preserve">https://in.linkedin.com/in/piyush-mittal-b8192027b</t>
  </si>
  <si>
    <t xml:space="preserve">Connection note: Hi Piyush, the ROG Flow Z13 Kojima Productions Edition was a fantastic collab. I'm building the founding sponsor group for WAiFF's India edition. Would love to connect.</t>
  </si>
  <si>
    <t xml:space="preserve">Niharika Shah (Sangani)</t>
  </si>
  <si>
    <t xml:space="preserve">Senior Digital Marketing Manager</t>
  </si>
  <si>
    <t xml:space="preserve">https://in.linkedin.com/in/niharika-shah-5a977795</t>
  </si>
  <si>
    <t xml:space="preserve">Connection note: Hi Niharika, I'm the India Ambassador for WAiFF, the AI film festival held at Cannes, building our founding India sponsor group. Would love to connect.</t>
  </si>
  <si>
    <t xml:space="preserve">Vandana Hirani</t>
  </si>
  <si>
    <t xml:space="preserve">Channel Marketing Lead (Consumer)</t>
  </si>
  <si>
    <t xml:space="preserve">Western Digital / SanDisk</t>
  </si>
  <si>
    <t xml:space="preserve">https://www.linkedin.com/in/vandanahirani/</t>
  </si>
  <si>
    <t xml:space="preserve">Connection note: Hi Vandana, the SanDisk Creator Series launch for India's 4K-6K creators was well timed. I'm building WAiFF's India sponsor group, launching December 2026. Would love to connect.</t>
  </si>
  <si>
    <t xml:space="preserve">Kinny Nayyar</t>
  </si>
  <si>
    <t xml:space="preserve">Regional Marketing Director</t>
  </si>
  <si>
    <t xml:space="preserve">SanDisk / Western Digital</t>
  </si>
  <si>
    <t xml:space="preserve">https://in.linkedin.com/in/kinnynayyar</t>
  </si>
  <si>
    <t xml:space="preserve">Connection note: Hi Kinny, I'm the India Ambassador for WAiFF, the AI film festival held at Cannes, building our founding India sponsor group. Would love to connect.</t>
  </si>
  <si>
    <t xml:space="preserve">Sumit Walia</t>
  </si>
  <si>
    <t xml:space="preserve">VP, Head of D2C &amp; Corporate Marketing</t>
  </si>
  <si>
    <t xml:space="preserve">https://in.linkedin.com/in/sumit-walia-8858668</t>
  </si>
  <si>
    <t xml:space="preserve">Connection note: Hi Sumit, Samsung x Brut India's Cannes red-carpet storytelling on the Galaxy S26 Ultra was a strong activation. I'm building WAiFF's India sponsor group. Would love to connect.</t>
  </si>
  <si>
    <t xml:space="preserve">Nitin Gupta</t>
  </si>
  <si>
    <t xml:space="preserve">https://in.linkedin.com/in/nitin-gupta-04902413</t>
  </si>
  <si>
    <t xml:space="preserve">Connection note: Hi Nitin, I'm the India Ambassador for WAiFF, the AI film festival held at Cannes, building our founding India sponsor group. Would love to connect.</t>
  </si>
  <si>
    <t xml:space="preserve">Ashish Dixit</t>
  </si>
  <si>
    <t xml:space="preserve">VP Marketing</t>
  </si>
  <si>
    <t xml:space="preserve">https://in.linkedin.com/in/mrashishdixit</t>
  </si>
  <si>
    <t xml:space="preserve">Connection note: Hi Ashish, the ₹1,000 crore Blackwell GPU order is a huge milestone. I'm building the founding sponsor group for WAiFF's India edition, launching December 2026. Would love to connect.</t>
  </si>
  <si>
    <t xml:space="preserve">Shubhendra Kanade</t>
  </si>
  <si>
    <t xml:space="preserve">Head of Marketing</t>
  </si>
  <si>
    <t xml:space="preserve">https://in.linkedin.com/in/shubhendra-kanade</t>
  </si>
  <si>
    <t xml:space="preserve">Connection note: Hi Shubhendra, congrats on Fractal's IPO, India's first AI-focused public offering. I'm building WAiFF's India sponsor group, launching December 2026. Would love to connect.</t>
  </si>
  <si>
    <t xml:space="preserve">Claire Darling</t>
  </si>
  <si>
    <t xml:space="preserve">Uniphore</t>
  </si>
  <si>
    <t xml:space="preserve">https://www.linkedin.com/in/clairedarling/</t>
  </si>
  <si>
    <t xml:space="preserve">Connection note: Hi Claire, the Uniphore x Tech Mahindra Agentic AI Factory partnership caught my attention. I'm building the founding sponsor group for WAiFF's India edition. Would love to connect.</t>
  </si>
  <si>
    <t xml:space="preserve">Ganesh Gopalan</t>
  </si>
  <si>
    <t xml:space="preserve">Co-Founder &amp; CEO</t>
  </si>
  <si>
    <t xml:space="preserve">Gnani.ai</t>
  </si>
  <si>
    <t xml:space="preserve">https://www.linkedin.com/in/ganesh-gopalan/</t>
  </si>
  <si>
    <t xml:space="preserve">Connection note: Hi Ganesh, Gnani.ai's Speech-to-Speech LLM work with NVIDIA is impressive. I'm building the founding sponsor group for WAiFF's India edition, launching December 2026. Would love to connect.</t>
  </si>
  <si>
    <t xml:space="preserve">Jim Duty</t>
  </si>
  <si>
    <t xml:space="preserve">VP, Business Development</t>
  </si>
  <si>
    <t xml:space="preserve">Pika Labs</t>
  </si>
  <si>
    <t xml:space="preserve">https://www.linkedin.com/in/jim-duty-66b06437/</t>
  </si>
  <si>
    <t xml:space="preserve">Connection note: Hi Jim, Pika Audio (Soundtrack/Music/SFX/Speech) is a strong move into full AI film production. Building WAiFF India's founding sponsor group, launching December 2026. Would love to connect.</t>
  </si>
  <si>
    <t xml:space="preserve">Alberto Avila</t>
  </si>
  <si>
    <t xml:space="preserve">Enterprise Partnerships</t>
  </si>
  <si>
    <t xml:space="preserve">Luma AI</t>
  </si>
  <si>
    <t xml:space="preserve">https://www.linkedin.com/in/albertojavila/</t>
  </si>
  <si>
    <t xml:space="preserve">Connection note: Hi Alberto, Luma's Ray3 launch was a big step for AI video. Building WAiFF India's founding sponsor group, launching December 2026. Would love to connect.</t>
  </si>
  <si>
    <t xml:space="preserve">Hiba Younes</t>
  </si>
  <si>
    <t xml:space="preserve">Brand Partnerships Manager</t>
  </si>
  <si>
    <t xml:space="preserve">https://www.linkedin.com/in/hibayounes1/</t>
  </si>
  <si>
    <t xml:space="preserve">Connection note: Hi Hiba, following Luma's Ray3 launch closely. I'm building the founding sponsor group for WAiFF's India edition, launching December 2026. Would love to connect.</t>
  </si>
  <si>
    <t xml:space="preserve">Zini (Nicole) Huang</t>
  </si>
  <si>
    <t xml:space="preserve">Business Development Manager</t>
  </si>
  <si>
    <t xml:space="preserve">https://www.linkedin.com/in/huangzini/</t>
  </si>
  <si>
    <t xml:space="preserve">Connection note: Hi Zini, Kling AI's growth this year has been remarkable. Building WAiFF India's founding sponsor group, launching December 2026. Would love to connect.</t>
  </si>
  <si>
    <t xml:space="preserve">Gal Machnay</t>
  </si>
  <si>
    <t xml:space="preserve">Business Development</t>
  </si>
  <si>
    <t xml:space="preserve">Deepdub</t>
  </si>
  <si>
    <t xml:space="preserve">https://www.linkedin.com/in/gal-machnay-8a50bb247</t>
  </si>
  <si>
    <t xml:space="preserve">Connection note: Hi Gal, Deepdub's agentic dubbing work is exactly the kind of AI filmmaking tool WAiFF spotlights. Building our India sponsor group, launching December 2026. Would love to connect.</t>
  </si>
  <si>
    <t xml:space="preserve">Ivan Kuzin</t>
  </si>
  <si>
    <t xml:space="preserve">Business Development / GTM</t>
  </si>
  <si>
    <t xml:space="preserve">https://www.linkedin.com/in/ikuzin</t>
  </si>
  <si>
    <t xml:space="preserve">Connection note: Hi Ivan, I'm the India Ambassador for WAiFF, the AI film festival held at Cannes, building our founding India sponsor group. Would love to connect.</t>
  </si>
  <si>
    <t xml:space="preserve">Anupreet Singh</t>
  </si>
  <si>
    <t xml:space="preserve">Chief Revenue Officer</t>
  </si>
  <si>
    <t xml:space="preserve">https://www.linkedin.com/in/anupreetsingh/</t>
  </si>
  <si>
    <t xml:space="preserve">Connection note: Hi Anupreet, Gan.ai's personalized video work out of Bangalore stood out. Building WAiFF India's founding sponsor group, launching December 2026. Would love to connect.</t>
  </si>
  <si>
    <t xml:space="preserve">Jeremia Melendez</t>
  </si>
  <si>
    <t xml:space="preserve">Partnerships</t>
  </si>
  <si>
    <t xml:space="preserve">HeyGen</t>
  </si>
  <si>
    <t xml:space="preserve">https://www.linkedin.com/in/jeremia-melendez-b2498433a</t>
  </si>
  <si>
    <t xml:space="preserve">Connection note: Hi Jeremia, HeyGen doubling to $200M ARR in eight months is a huge run. Building WAiFF India's founding sponsor group, launching December 2026. Would love to connect.</t>
  </si>
  <si>
    <t xml:space="preserve">Susanne Ilemann</t>
  </si>
  <si>
    <t xml:space="preserve">SVP Marketing and Business Intelligence</t>
  </si>
  <si>
    <t xml:space="preserve">https://www.linkedin.com/in/susanneilemann/</t>
  </si>
  <si>
    <t xml:space="preserve">Connection note: Hi Susanne, D-ID's V4 Expressive Avatars work is impressive. Building the founding sponsor group for WAiFF's India edition, launching December 2026. Would love to connect.</t>
  </si>
  <si>
    <t xml:space="preserve">Ryan Pastian</t>
  </si>
  <si>
    <t xml:space="preserve">CRO / SVP of Sales</t>
  </si>
  <si>
    <t xml:space="preserve">Colossyan</t>
  </si>
  <si>
    <t xml:space="preserve">https://www.linkedin.com/in/ryanpastian/</t>
  </si>
  <si>
    <t xml:space="preserve">Connection note: Hi Ryan, congrats on the Red Dot Design Award and the new Cora agent. Building WAiFF India's founding sponsor group, launching December 2026. Would love to connect.</t>
  </si>
  <si>
    <t xml:space="preserve">Mohammad Norouzi</t>
  </si>
  <si>
    <t xml:space="preserve">Founder &amp; CEO</t>
  </si>
  <si>
    <t xml:space="preserve">Ideogram</t>
  </si>
  <si>
    <t xml:space="preserve">https://ca.linkedin.com/in/monorouzi</t>
  </si>
  <si>
    <t xml:space="preserve">Connection note: Hi Mohammad, Ideogram's Character feature is a great creative tool. Building the founding sponsor group for WAiFF's India edition, launching December 2026. Would love to connect.</t>
  </si>
  <si>
    <t xml:space="preserve">Connection note: Hi Michelle, Photoroom's H1 2026 product recap was impressive. Building the founding sponsor group for WAiFF's India edition, launching December 2026. Would love to connect.</t>
  </si>
  <si>
    <t xml:space="preserve">Tino Millar</t>
  </si>
  <si>
    <t xml:space="preserve">https://uk.linkedin.com/in/tino-millar-7b2a8b329</t>
  </si>
  <si>
    <t xml:space="preserve">Connection note: Hi Tino, Move AI's markerless mocap work with major studios is impressive. Building WAiFF India's founding sponsor group, launching December 2026. Would love to connect.</t>
  </si>
  <si>
    <t xml:space="preserve">Shreya Luthra</t>
  </si>
  <si>
    <t xml:space="preserve">Marketing Manager</t>
  </si>
  <si>
    <t xml:space="preserve">https://in.linkedin.com/in/shreya-luthra-891182a1</t>
  </si>
  <si>
    <t xml:space="preserve">Connection note: Hi Shreya, I'm the India Ambassador for WAiFF, the AI film festival held at Cannes, building our founding India sponsor group. Would love to connect.</t>
  </si>
  <si>
    <t xml:space="preserve">Anu Sharma</t>
  </si>
  <si>
    <t xml:space="preserve">Fujifilm India</t>
  </si>
  <si>
    <t xml:space="preserve">https://in.linkedin.com/in/anu-sharma-743469107</t>
  </si>
  <si>
    <t xml:space="preserve">Connection note: Hi Anu, the new FUJIFILM House of Photography in Mumbai is a great launch. Building WAiFF India's founding sponsor group, launching December 2026. Would love to connect.</t>
  </si>
  <si>
    <t xml:space="preserve">Vivek Raghavan</t>
  </si>
  <si>
    <t xml:space="preserve">Co-founder &amp; CEO</t>
  </si>
  <si>
    <t xml:space="preserve">Sarvam AI</t>
  </si>
  <si>
    <t xml:space="preserve">https://in.linkedin.com/in/vivek-raghavan-16005424</t>
  </si>
  <si>
    <t xml:space="preserve">Connection note: Hi Vivek, congrats on Sarvam becoming India's newest AI unicorn. Building the founding sponsor group for WAiFF's India edition, launching December 2026. Would love to connect.</t>
  </si>
  <si>
    <t xml:space="preserve">Deekshith Varma</t>
  </si>
  <si>
    <t xml:space="preserve">Marketing Manager &amp; Creative Head</t>
  </si>
  <si>
    <t xml:space="preserve">https://cl.linkedin.com/in/deekshith-varma-39670a27</t>
  </si>
  <si>
    <t xml:space="preserve">Connection note: Hi Deekshith, congrats on Quantiphi's 2026 Google Cloud Partner of the Year win. Building WAiFF India's founding sponsor group, launching December 2026. Would love to connect.</t>
  </si>
  <si>
    <t xml:space="preserve">Aman Gupta</t>
  </si>
  <si>
    <t xml:space="preserve">Co-founder</t>
  </si>
  <si>
    <t xml:space="preserve">https://in.linkedin.com/in/aman-gupta-7217a515</t>
  </si>
  <si>
    <t xml:space="preserve">Connection note: Hi Aman, the boAt x Netflix India PartyPal 700 campaign was a great execution. Building the founding sponsor group for WAiFF's India edition. Would love to connect.</t>
  </si>
  <si>
    <t xml:space="preserve">Jesse Shemen</t>
  </si>
  <si>
    <t xml:space="preserve">Papercup</t>
  </si>
  <si>
    <t xml:space="preserve">https://uk.linkedin.com/in/jesseshemen</t>
  </si>
  <si>
    <t xml:space="preserve">Connection note: Hi Jesse, Papercup's AI dubbing work with Sky News is impressive. Building the founding sponsor group for WAiFF's India edition, launching December 2026. Would love to connect.</t>
  </si>
  <si>
    <t xml:space="preserve">Adam Lasnik</t>
  </si>
  <si>
    <t xml:space="preserve">Head of Operations</t>
  </si>
  <si>
    <t xml:space="preserve">Udio</t>
  </si>
  <si>
    <t xml:space="preserve">https://www.linkedin.com/in/adamlasnik/</t>
  </si>
  <si>
    <t xml:space="preserve">Connection note: Hi Adam, Udio's licensing deals with UMG and WMG are a big deal for AI music. Building WAiFF India's founding sponsor group, launching December 2026. Would love to connect.</t>
  </si>
  <si>
    <t xml:space="preserve">Rachel Racusen</t>
  </si>
  <si>
    <t xml:space="preserve">Senior Communications Executive</t>
  </si>
  <si>
    <t xml:space="preserve">https://www.linkedin.com/in/rachelracusen/</t>
  </si>
  <si>
    <t xml:space="preserve">Connection note: Hi Rachel, Suno's Warner Music Group partnership is a big step for AI music. Building WAiFF India's founding sponsor group, launching December 2026. Would love to connect.</t>
  </si>
  <si>
    <t xml:space="preserve">Raghu Ravinutala</t>
  </si>
  <si>
    <t xml:space="preserve">Yellow.ai</t>
  </si>
  <si>
    <t xml:space="preserve">https://www.linkedin.com/in/raghuravinutala/</t>
  </si>
  <si>
    <t xml:space="preserve">Connection note: Hi Raghu, congrats on the Bluerock merger to go public. Building the founding sponsor group for WAiFF's India edition, launching December 2026. Would love to connect.</t>
  </si>
  <si>
    <t xml:space="preserve">Ankush Sabharwal</t>
  </si>
  <si>
    <t xml:space="preserve">Founder, CEO &amp; CTO</t>
  </si>
  <si>
    <t xml:space="preserve">CoRover.ai</t>
  </si>
  <si>
    <t xml:space="preserve">https://in.linkedin.com/in/ankushsabharwal</t>
  </si>
  <si>
    <t xml:space="preserve">Connection note: Hi Ankush, CoRover's 7,000+ agents in a day is a serious milestone. Building WAiFF India's founding sponsor group, launching December 2026. Would love to connect.</t>
  </si>
  <si>
    <t xml:space="preserve">Traptika Chauhan</t>
  </si>
  <si>
    <t xml:space="preserve">Head, Agency Business &amp; Pre-Sales</t>
  </si>
  <si>
    <t xml:space="preserve">PVR INOX Ltd</t>
  </si>
  <si>
    <t xml:space="preserve">https://in.linkedin.com/in/traptika-chauhan-08b4345</t>
  </si>
  <si>
    <t xml:space="preserve">Not sent yet</t>
  </si>
  <si>
    <t xml:space="preserve">Connection note: Hi Traptika, PVR INOX's push into live events caught my eye. I'm building the India edition of WAIFF, an AI film festival held at Cannes, and would value connecting.</t>
  </si>
  <si>
    <t xml:space="preserve">Guanglei Jia</t>
  </si>
  <si>
    <t xml:space="preserve">Director of Business Development</t>
  </si>
  <si>
    <t xml:space="preserve">DNEG</t>
  </si>
  <si>
    <t xml:space="preserve">https://uk.linkedin.com/in/guanglei-jia-4661872b</t>
  </si>
  <si>
    <t xml:space="preserve">Connection note: Hi Guanglei, congrats on DNEG's VFX Oscar for Dune: Part Two. I'm building the India edition of WAIFF, an AI film festival held at Cannes, and would love to connect.</t>
  </si>
  <si>
    <t xml:space="preserve">Jesh Krishna Murthy</t>
  </si>
  <si>
    <t xml:space="preserve">https://in.linkedin.com/in/jeshkm</t>
  </si>
  <si>
    <t xml:space="preserve">Connection note: Hi Jesh, your work on India's AVGC taskforce and at Anibrain stood out. I'm building the India edition of WAIFF, an AI film festival held at Cannes, and would value connecting.</t>
  </si>
  <si>
    <t xml:space="preserve">Amit Garg</t>
  </si>
  <si>
    <t xml:space="preserve">Head of Business Development</t>
  </si>
  <si>
    <t xml:space="preserve">https://in.linkedin.com/in/amit-garg-ba0034b</t>
  </si>
  <si>
    <t xml:space="preserve">Connection note: Hi Amit, Cinepolis's rapid India expansion is impressive. I'm building the India edition of WAIFF, an AI film festival held at Cannes, and would love to connect.</t>
  </si>
  <si>
    <t xml:space="preserve">Sanket Sahu</t>
  </si>
  <si>
    <t xml:space="preserve">Manager, Sales &amp; Marketing</t>
  </si>
  <si>
    <t xml:space="preserve">https://www.linkedin.com/in/sanketsahu1/</t>
  </si>
  <si>
    <t xml:space="preserve">Connection note: Hi Sanket, following Cinepolis India's growth with interest. I'm building the India edition of WAIFF, an AI film festival held at Cannes, and would value connecting.</t>
  </si>
  <si>
    <t xml:space="preserve">Sameer Munshi</t>
  </si>
  <si>
    <t xml:space="preserve">COO</t>
  </si>
  <si>
    <t xml:space="preserve">Miraj Entertainment Ltd</t>
  </si>
  <si>
    <t xml:space="preserve">https://www.linkedin.com/in/sameer-munshi-6692b839/</t>
  </si>
  <si>
    <t xml:space="preserve">Connection note: Hi Sameer, congrats on the COO role and the expanded BD mandate. I'm building the India edition of WAIFF, an AI film festival held at Cannes, and would value connecting.</t>
  </si>
  <si>
    <t xml:space="preserve">Amit Dwivedi</t>
  </si>
  <si>
    <t xml:space="preserve">Marketing</t>
  </si>
  <si>
    <t xml:space="preserve">https://www.linkedin.com/in/amit-dwivedi-a6366218/</t>
  </si>
  <si>
    <t xml:space="preserve">Connection note: Hi Amit, I'm building the India edition of WAIFF, an AI film festival held at Cannes, and think there could be real synergy with YRF. Would love to connect.</t>
  </si>
  <si>
    <t xml:space="preserve">Priya Singh</t>
  </si>
  <si>
    <t xml:space="preserve">New Business Initiative</t>
  </si>
  <si>
    <t xml:space="preserve">https://in.linkedin.com/in/priya-singh-b7b62615</t>
  </si>
  <si>
    <t xml:space="preserve">Connection note: Hi Priya, I'm building the India edition of WAIFF, an AI film festival held at Cannes, and think there could be real synergy with YRF's new-business work. Would value connecting.</t>
  </si>
  <si>
    <t xml:space="preserve">Prasoon Garg</t>
  </si>
  <si>
    <t xml:space="preserve">Chief Business Officer</t>
  </si>
  <si>
    <t xml:space="preserve">https://www.linkedin.com/in/prasoongarg/</t>
  </si>
  <si>
    <t xml:space="preserve">Connection note: Hi Prasoon, the Story TV microdrama deal was a sharp move. I emailed you separately on WAIFF India, an AI film festival held at Cannes, and wanted to connect here too.</t>
  </si>
  <si>
    <t xml:space="preserve">Pratik Shah</t>
  </si>
  <si>
    <t xml:space="preserve">Manager, Business Development</t>
  </si>
  <si>
    <t xml:space="preserve">https://in.linkedin.com/in/pratik-shah-31688220</t>
  </si>
  <si>
    <t xml:space="preserve">Connection note: Hi Pratik, Wizcraft's IIFA legacy and the new Wizfilm venture stood out. I'm building the India edition of WAIFF, an AI film festival held at Cannes, and would value connecting.</t>
  </si>
  <si>
    <t xml:space="preserve">Mohit Chatwal</t>
  </si>
  <si>
    <t xml:space="preserve">Director, Sales, Marketing &amp; Operations</t>
  </si>
  <si>
    <t xml:space="preserve">https://in.linkedin.com/in/mohit-chatwal-08b24182</t>
  </si>
  <si>
    <t xml:space="preserve">Connection note: Hi Mohit, Ramoji Film City's scale is remarkable. I'm building the India edition of WAIFF, an AI film festival held at Cannes, and would love to connect.</t>
  </si>
  <si>
    <t xml:space="preserve">T Shobhana</t>
  </si>
  <si>
    <t xml:space="preserve">SVP &amp; Global Head of Marketing &amp; Communications</t>
  </si>
  <si>
    <t xml:space="preserve">https://www.linkedin.com/in/tshobhana/</t>
  </si>
  <si>
    <t xml:space="preserve">Connection note: Hi Shobhana, the STAGE and Fremantle deals caught my attention. I emailed you separately on WAIFF India, an AI film festival held at Cannes, and wanted to connect here too.</t>
  </si>
  <si>
    <t xml:space="preserve">Tara Alexander</t>
  </si>
  <si>
    <t xml:space="preserve">VP Business Development</t>
  </si>
  <si>
    <t xml:space="preserve">https://www.linkedin.com/in/taalexander/</t>
  </si>
  <si>
    <t xml:space="preserve">Connection note: Hi Tara, following PFT's AI-media momentum with interest. I'm building the India edition of WAIFF, an AI film festival held at Cannes, and would value connecting.</t>
  </si>
  <si>
    <t xml:space="preserve">Trishaala Jain</t>
  </si>
  <si>
    <t xml:space="preserve">Manager, Brand Partnerships &amp; Alliances</t>
  </si>
  <si>
    <t xml:space="preserve">Balaji Telefilms Ltd</t>
  </si>
  <si>
    <t xml:space="preserve">https://www.linkedin.com/in/trishaala-jain/</t>
  </si>
  <si>
    <t xml:space="preserve">Connection note: Hi Trishaala, the Netflix-Balaji partnership was a great read. I'm building the India edition of WAIFF, an AI film festival held at Cannes, and would value connecting.</t>
  </si>
  <si>
    <t xml:space="preserve">Frenil Solani</t>
  </si>
  <si>
    <t xml:space="preserve">Manager, Partnerships</t>
  </si>
  <si>
    <t xml:space="preserve">https://www.linkedin.com/in/frenil-solani-240ab3113/</t>
  </si>
  <si>
    <t xml:space="preserve">Connection note: Hi Frenil, following Balaji's recent partnership moves with interest. I'm building the India edition of WAIFF, an AI film festival held at Cannes, and would love to connect.</t>
  </si>
  <si>
    <t xml:space="preserve">Vishal Ramchandani</t>
  </si>
  <si>
    <t xml:space="preserve">CEO</t>
  </si>
  <si>
    <t xml:space="preserve">https://in.linkedin.com/in/vishal-ramchandani-90b6ab16</t>
  </si>
  <si>
    <t xml:space="preserve">Connection note: Hi Vishal, Excel Origins is a great initiative for new filmmakers. I'm building the India edition of WAIFF, an AI film festival held at Cannes, and would value connecting.</t>
  </si>
  <si>
    <t xml:space="preserve">Naveen Paul</t>
  </si>
  <si>
    <t xml:space="preserve">Founder &amp; Creative Head / Managing Director</t>
  </si>
  <si>
    <t xml:space="preserve">https://in.linkedin.com/in/naveen-paul-5a9aba3</t>
  </si>
  <si>
    <t xml:space="preserve">Connection note: Hi Naveen, the Goodbye Kansas Studios move was a bold step. I'm building the India edition of WAIFF, an AI film festival held at Cannes, and would love to connect.</t>
  </si>
  <si>
    <t xml:space="preserve">Harshit Thakkar</t>
  </si>
  <si>
    <t xml:space="preserve">Director, Products</t>
  </si>
  <si>
    <t xml:space="preserve">https://www.linkedin.com/in/hthakkar/</t>
  </si>
  <si>
    <t xml:space="preserve">Connection note: Hi Harshit, following Qube's cinema-tech consolidation with interest. I'm building the India edition of WAIFF, an AI film festival held at Cannes, and would value connecting.</t>
  </si>
  <si>
    <t xml:space="preserve">Sathesh Thulasi</t>
  </si>
  <si>
    <t xml:space="preserve">Associate Vice President</t>
  </si>
  <si>
    <t xml:space="preserve">https://www.linkedin.com/in/sathesh-thulasi-19416b1b/</t>
  </si>
  <si>
    <t xml:space="preserve">Connection note: Hi Sathesh, Qube's recent acquisitions stood out. I'm building the India edition of WAIFF, an AI film festival held at Cannes, and would value connecting.</t>
  </si>
  <si>
    <t xml:space="preserve">James Lam</t>
  </si>
  <si>
    <t xml:space="preserve">Google DeepMind</t>
  </si>
  <si>
    <t xml:space="preserve">not verified - name only, no URL found</t>
  </si>
  <si>
    <t xml:space="preserve">Connection note: Hi James, the DeepMind-A24 AI filmmaking partnership was a landmark move. I'm building the India edition of WAIFF, an AI film festival held at Cannes, and would value connecting. [MD/VP/Director+ tier, per updated seniority requirement]</t>
  </si>
  <si>
    <t xml:space="preserve">Guneet Singh</t>
  </si>
  <si>
    <t xml:space="preserve">Global Head, Marketing &amp; Creative Solutions</t>
  </si>
  <si>
    <t xml:space="preserve">Connection note: Hi Guneet, following Google's creative-AI work with interest. I'm building the India edition of WAIFF, an AI film festival held at Cannes, and would value connecting. [MD/VP/Director+ tier, per updated seniority requirement]</t>
  </si>
  <si>
    <t xml:space="preserve">Aparajita Puri</t>
  </si>
  <si>
    <t xml:space="preserve">Managing Director, Strategic Pursuits</t>
  </si>
  <si>
    <t xml:space="preserve">Microsoft India</t>
  </si>
  <si>
    <t xml:space="preserve">Connection note: Hi Aparajita, Microsoft's scale in India is remarkable. I'm building the India edition of WAIFF, an AI film festival held at Cannes, and would love to connect. [MD/VP/Director+ tier, per updated seniority requirement]</t>
  </si>
  <si>
    <t xml:space="preserve">Sandeep Dutta</t>
  </si>
  <si>
    <t xml:space="preserve">President, AWS India &amp; South Asia</t>
  </si>
  <si>
    <t xml:space="preserve">Amazon Web Services</t>
  </si>
  <si>
    <t xml:space="preserve">Connection note: Hi Sandeep, following AWS India's AI infrastructure push with interest. I'm building the India edition of WAIFF, an AI film festival held at Cannes, and would value connecting. [MD/VP/Director+ tier, per updated seniority requirement]</t>
  </si>
  <si>
    <t xml:space="preserve">Lara Balazs</t>
  </si>
  <si>
    <t xml:space="preserve">CMO &amp; EVP Global Marketing</t>
  </si>
  <si>
    <t xml:space="preserve">Connection note: Hi Lara, the Firefly Foundry launch was a strong move. I'm building the India edition of WAIFF, an AI film festival held at Cannes, and would love to connect. [MD/VP/Director+ tier, per updated seniority requirement]</t>
  </si>
  <si>
    <t xml:space="preserve">Diana Colella</t>
  </si>
  <si>
    <t xml:space="preserve">EVP, Media &amp; Entertainment</t>
  </si>
  <si>
    <t xml:space="preserve">Connection note: Hi Diana, the Wonder Dynamics acquisition was a sharp read on where VFX is heading. I'm building the India edition of WAIFF, an AI film festival held at Cannes, and would value connecting. [MD/VP/Director+ tier, per updated seniority requirement]</t>
  </si>
  <si>
    <t xml:space="preserve">Raymond Thompson</t>
  </si>
  <si>
    <t xml:space="preserve">Senior Director, WW Partners and Alliances</t>
  </si>
  <si>
    <t xml:space="preserve">https://www.linkedin.com/in/raymondgthompson/</t>
  </si>
  <si>
    <t xml:space="preserve">Connection note: Hi Raymond, your take on AI's impact on video editing was on point. I emailed Avid separately on WAIFF India, an AI film festival held at Cannes, and wanted to connect here too. [MD/VP/Director+ tier, per updated seniority requirement]</t>
  </si>
  <si>
    <t xml:space="preserve">Jody Madden</t>
  </si>
  <si>
    <t xml:space="preserve">https://www.linkedin.com/in/jodymadden/</t>
  </si>
  <si>
    <t xml:space="preserve">Connection note: Hi Jody, Griptape Enterprise is a smart move for studio-controlled AI. I emailed Foundry separately on WAIFF India, an AI film festival held at Cannes, and wanted to connect. [MD/VP/Director+ tier, per updated seniority requirement]</t>
  </si>
  <si>
    <t xml:space="preserve">Manish Beher</t>
  </si>
  <si>
    <t xml:space="preserve">Country Manager, Asia (incl. India)</t>
  </si>
  <si>
    <t xml:space="preserve">https://in.linkedin.com/in/manish-beher-8880a722</t>
  </si>
  <si>
    <t xml:space="preserve">Connection note: Hi Manish, Blackmagic's presence at Sundance 2026 stood out. I'm building the India edition of WAIFF, an AI film festival held at Cannes, and would value connecting. [MD/VP/Director+ tier, per updated seniority requirement]</t>
  </si>
  <si>
    <t xml:space="preserve">David Moretti</t>
  </si>
  <si>
    <t xml:space="preserve">Senior Director of Strategic Partnerships</t>
  </si>
  <si>
    <t xml:space="preserve">Unity Software</t>
  </si>
  <si>
    <t xml:space="preserve">https://www.linkedin.com/in/david-a-moretti/</t>
  </si>
  <si>
    <t xml:space="preserve">Connection note: Hi David, following Unity's AI-avatar work with Genies with interest. I'm building the India edition of WAIFF, an AI film festival held at Cannes, and would value connecting. [MD/VP/Director+ tier, per updated seniority requirement]</t>
  </si>
  <si>
    <t xml:space="preserve">Oskar Cadena</t>
  </si>
  <si>
    <t xml:space="preserve">Global Partnerships Director</t>
  </si>
  <si>
    <t xml:space="preserve">Epic Games</t>
  </si>
  <si>
    <t xml:space="preserve">https://www.linkedin.com/in/oskarcadena/</t>
  </si>
  <si>
    <t xml:space="preserve">Connection note: Hi Oskar, Unreal's new AI/MCP plugin work is a big step. I'm building the India edition of WAIFF, an AI film festival held at Cannes, and would love to connect. [MD/VP/Director+ tier, per updated seniority requirement]</t>
  </si>
  <si>
    <t xml:space="preserve">David Bermbach</t>
  </si>
  <si>
    <t xml:space="preserve">Managing Director, ARRI Cinetechnik</t>
  </si>
  <si>
    <t xml:space="preserve">https://de.linkedin.com/in/david-bermbach-58393121/en</t>
  </si>
  <si>
    <t xml:space="preserve">Connection note: Hi David, the HONOR collaboration extends ARRI's imaging science in an interesting direction. I'm building the India edition of WAIFF, an AI film festival held at Cannes, and would value connecting. [MD/VP/Director+ tier, per updated seniority requirement]</t>
  </si>
  <si>
    <t xml:space="preserve">Jannie van Wyk</t>
  </si>
  <si>
    <t xml:space="preserve">Managing Director, ARRI Rental (UK)</t>
  </si>
  <si>
    <t xml:space="preserve">https://uk.linkedin.com/in/jannie-van-wyk-73b13097</t>
  </si>
  <si>
    <t xml:space="preserve">Connection note: Hi Jannie, following ARRI's momentum with interest. I'm building the India edition of WAIFF, an AI film festival held at Cannes, and would value connecting. [MD/VP/Director+ tier, per updated seniority requirement]</t>
  </si>
  <si>
    <t xml:space="preserve">Christina Zhang</t>
  </si>
  <si>
    <t xml:space="preserve">VP, Sales &amp; Marketing</t>
  </si>
  <si>
    <t xml:space="preserve">https://cn.linkedin.com/in/christina-zhang-58809a30</t>
  </si>
  <si>
    <t xml:space="preserve">Connection note: Hi Christina, the Osmo Pocket 4P launch at Cannes was well timed. I'm building the India edition of WAIFF, an AI film festival held at Cannes, and would love to connect. [MD/VP/Director+ tier, per updated seniority requirement]</t>
  </si>
  <si>
    <t xml:space="preserve">Varun Shetty</t>
  </si>
  <si>
    <t xml:space="preserve">VP, Media &amp; Entertainment Partnerships</t>
  </si>
  <si>
    <t xml:space="preserve">OpenAI</t>
  </si>
  <si>
    <t xml:space="preserve">https://www.linkedin.com/in/mrvarunshetty/</t>
  </si>
  <si>
    <t xml:space="preserve">Connection note: Hi Varun, your work on OpenAI's studio and media partnerships is exactly the space WAIFF sits in. I'm building the India edition of WAIFF, an AI film festival held at Cannes, and would value connecting. [MD/VP/Director+ tier, per updated seniority requirement]</t>
  </si>
  <si>
    <t xml:space="preserve">Oliver Jay</t>
  </si>
  <si>
    <t xml:space="preserve">Managing Director, OpenAI International</t>
  </si>
  <si>
    <t xml:space="preserve">https://sg.linkedin.com/in/oliverjayleadership</t>
  </si>
  <si>
    <t xml:space="preserve">Connection note: Hi Oliver, following OpenAI for India with real interest. I'm building the India edition of WAIFF, an AI film festival held at Cannes, and would value connecting. [MD/VP/Director+ tier, per updated seniority requirement]</t>
  </si>
  <si>
    <t xml:space="preserve">Aimee Egan</t>
  </si>
  <si>
    <t xml:space="preserve">Chief Enterprise Officer</t>
  </si>
  <si>
    <t xml:space="preserve">https://www.linkedin.com/in/aimeeegan/</t>
  </si>
  <si>
    <t xml:space="preserve">Connection note: Hi Aimee, Shutterstock's Sundance partnership is a great model. I'm building the India edition of WAIFF, an AI film festival held at Cannes, and would value connecting. [MD/VP/Director+ tier, per updated seniority requirement]</t>
  </si>
  <si>
    <t xml:space="preserve">Jessica April</t>
  </si>
  <si>
    <t xml:space="preserve">VP, Global Sales</t>
  </si>
  <si>
    <t xml:space="preserve">https://www.linkedin.com/in/jessicaapril/</t>
  </si>
  <si>
    <t xml:space="preserve">Connection note: Hi Jessica, following Shutterstock's festival partnerships with interest. I'm building the India edition of WAIFF, an AI film festival held at Cannes, and would love to connect. [MD/VP/Director+ tier, per updated seniority requirement]</t>
  </si>
  <si>
    <t xml:space="preserve">Juliette Cuijpers</t>
  </si>
  <si>
    <t xml:space="preserve">VP of Sales, Strategic Accounts</t>
  </si>
  <si>
    <t xml:space="preserve">Getty Images</t>
  </si>
  <si>
    <t xml:space="preserve">https://www.linkedin.com/in/juliette-cuijpers-6a533a41</t>
  </si>
  <si>
    <t xml:space="preserve">Connection note: Hi Juliette, Getty's Tribeca and Sundance partnerships stood out. I'm building the India edition of WAIFF, an AI film festival held at Cannes, and would value connecting. [MD/VP/Director+ tier, per updated seniority requirement]</t>
  </si>
  <si>
    <t xml:space="preserve">John Yoo</t>
  </si>
  <si>
    <t xml:space="preserve">VP of Sales, Business Development</t>
  </si>
  <si>
    <t xml:space="preserve">CyberLink</t>
  </si>
  <si>
    <t xml:space="preserve">https://www.linkedin.com/in/johnyoowork/</t>
  </si>
  <si>
    <t xml:space="preserve">Connection note: Hi John, CyberLink's on-device AI editing work at CES was impressive. I emailed CyberLink's partnerships form separately on WAIFF India, an AI film festival held at Cannes, and wanted to connect. [MD/VP/Director+ tier, per updated seniority requirement]</t>
  </si>
  <si>
    <t xml:space="preserve">Fiona Leung</t>
  </si>
  <si>
    <t xml:space="preserve">Global Brand Marketing Director</t>
  </si>
  <si>
    <t xml:space="preserve">https://www.linkedin.com/in/fiona-leung-94744045/</t>
  </si>
  <si>
    <t xml:space="preserve">Connection note: Hi Fiona, the X6's on-device AI editing is a great fit for our filmmakers. I emailed Insta360 separately on WAIFF India, an AI film festival held at Cannes, and wanted to connect too. [MD/VP/Director+ tier, per updated seniority requirement]</t>
  </si>
  <si>
    <t xml:space="preserve">Anne Reilly</t>
  </si>
  <si>
    <t xml:space="preserve">VP, Global Sales Operations</t>
  </si>
  <si>
    <t xml:space="preserve">https://www.linkedin.com/in/annemreilly/</t>
  </si>
  <si>
    <t xml:space="preserve">Connection note: Hi Anne, following GoPro's AI-powered editing updates with interest. I'm building the India edition of WAIFF, an AI film festival held at Cannes, and would value connecting. [MD/VP/Director+ tier, per updated seniority requirement]</t>
  </si>
  <si>
    <t xml:space="preserve">Steven Marshall</t>
  </si>
  <si>
    <t xml:space="preserve">Director, Product Marketing</t>
  </si>
  <si>
    <t xml:space="preserve">Canon Europe</t>
  </si>
  <si>
    <t xml:space="preserve">https://uk.linkedin.com/in/steven-marshall-9a7778163</t>
  </si>
  <si>
    <t xml:space="preserve">Connection note: Hi Steven, Canon's CES 2026 motion-capture showcase stood out. I'm building the India edition of WAIFF, an AI film festival held at Cannes, and would value connecting. [MD/VP/Director+ tier, per updated seniority requirement]</t>
  </si>
  <si>
    <t xml:space="preserve">Jim Catalano</t>
  </si>
  <si>
    <t xml:space="preserve">Director, Marketing Operations</t>
  </si>
  <si>
    <t xml:space="preserve">Canon USA</t>
  </si>
  <si>
    <t xml:space="preserve">https://www.linkedin.com/in/jim-catalano-a17b0384/</t>
  </si>
  <si>
    <t xml:space="preserve">Connection note: Hi Jim, following Canon's creative-tech showcases with interest. I'm building the India edition of WAIFF, an AI film festival held at Cannes, and would love to connect. [MD/VP/Director+ tier, per updated seniority requirement]</t>
  </si>
  <si>
    <t xml:space="preserve">Anne Globe</t>
  </si>
  <si>
    <t xml:space="preserve">IMAX</t>
  </si>
  <si>
    <t xml:space="preserve">https://www.linkedin.com/in/anne-globe/</t>
  </si>
  <si>
    <t xml:space="preserve">CMO owns brand partnerships/marketing budget at IMAX.</t>
  </si>
  <si>
    <t xml:space="preserve">Heather Morgan</t>
  </si>
  <si>
    <t xml:space="preserve">Head of Global Distribution</t>
  </si>
  <si>
    <t xml:space="preserve">https://www.linkedin.com/in/heather-morgan-72668623/</t>
  </si>
  <si>
    <t xml:space="preserve">Recently hired (2025) from Alamo Drafthouse; controls global exhibition relationships.</t>
  </si>
  <si>
    <t xml:space="preserve">Molly Cody</t>
  </si>
  <si>
    <t xml:space="preserve">Director, Marketing Strategic Partnerships</t>
  </si>
  <si>
    <t xml:space="preserve">https://www.linkedin.com/in/mollystonecody/</t>
  </si>
  <si>
    <t xml:space="preserve">Directly owns marketing partnerships function at IMAX.</t>
  </si>
  <si>
    <t xml:space="preserve">Pankaj Kedia</t>
  </si>
  <si>
    <t xml:space="preserve">VP, Americas, Commercial Partnerships</t>
  </si>
  <si>
    <t xml:space="preserve">Dolby Laboratories</t>
  </si>
  <si>
    <t xml:space="preserve">https://www.linkedin.com/in/pankajkediadolby/</t>
  </si>
  <si>
    <t xml:space="preserve">VP owning commercial partnerships in the Americas; active India-related content.</t>
  </si>
  <si>
    <t xml:space="preserve">Cristian Mueller</t>
  </si>
  <si>
    <t xml:space="preserve">Sr. Director, Strategic Partnerships</t>
  </si>
  <si>
    <t xml:space="preserve">https://www.linkedin.com/in/cristianmueller/</t>
  </si>
  <si>
    <t xml:space="preserve">Director-level strategic partnerships lead at Dolby.</t>
  </si>
  <si>
    <t xml:space="preserve">Gerwin Damberg</t>
  </si>
  <si>
    <t xml:space="preserve">EVP Cinema &amp; Chief Technology Officer</t>
  </si>
  <si>
    <t xml:space="preserve">Barco NV</t>
  </si>
  <si>
    <t xml:space="preserve">https://ca.linkedin.com/in/gerwindamberg</t>
  </si>
  <si>
    <t xml:space="preserve">EVP of Barco's Cinema business unit plus group CTO — very senior.</t>
  </si>
  <si>
    <t xml:space="preserve">Marty Waverley</t>
  </si>
  <si>
    <t xml:space="preserve">Senior Director of Sales / Consultant Relations</t>
  </si>
  <si>
    <t xml:space="preserve">Christie Digital Systems</t>
  </si>
  <si>
    <t xml:space="preserve">https://www.linkedin.com/in/marty-waverley-4490705/</t>
  </si>
  <si>
    <t xml:space="preserve">Senior director with active event/sponsorship presence.</t>
  </si>
  <si>
    <t xml:space="preserve">Christopher Shu</t>
  </si>
  <si>
    <t xml:space="preserve">Director of Marketing, Cinema</t>
  </si>
  <si>
    <t xml:space="preserve">https://www.linkedin.com/in/christopher-shu-37585aaa/</t>
  </si>
  <si>
    <t xml:space="preserve">Directly runs cinema marketing at Christie.</t>
  </si>
  <si>
    <t xml:space="preserve">Doug Boyer</t>
  </si>
  <si>
    <t xml:space="preserve">Director of Sales and Business Development, Enterprise</t>
  </si>
  <si>
    <t xml:space="preserve">Christie Digital Systems USA</t>
  </si>
  <si>
    <t xml:space="preserve">https://www.linkedin.com/in/doug-boyer-b14a8473/</t>
  </si>
  <si>
    <t xml:space="preserve">Director-level enterprise business development.</t>
  </si>
  <si>
    <t xml:space="preserve">Christian Roberton</t>
  </si>
  <si>
    <t xml:space="preserve">Technicolor Creative Studios (MPC)</t>
  </si>
  <si>
    <t xml:space="preserve">https://uk.linkedin.com/in/christian-roberton-8b1848214</t>
  </si>
  <si>
    <t xml:space="preserve">Top decision-maker over MPC/Technicolor Creative Studios group.</t>
  </si>
  <si>
    <t xml:space="preserve">Rob Bredow</t>
  </si>
  <si>
    <t xml:space="preserve">SVP, Executive Creative Director &amp; Head of ILM</t>
  </si>
  <si>
    <t xml:space="preserve">Lucasfilm / Industrial Light &amp; Magic</t>
  </si>
  <si>
    <t xml:space="preserve">https://www.linkedin.com/in/robbredow/</t>
  </si>
  <si>
    <t xml:space="preserve">Top operating executive of ILM.</t>
  </si>
  <si>
    <t xml:space="preserve">Janet Lewin</t>
  </si>
  <si>
    <t xml:space="preserve">SVP, General Manager</t>
  </si>
  <si>
    <t xml:space="preserve">Industrial Light &amp; Magic</t>
  </si>
  <si>
    <t xml:space="preserve">https://www.linkedin.com/in/janet-lewin-b9818a7</t>
  </si>
  <si>
    <t xml:space="preserve">Confirmed via ILM's own executive profile page.</t>
  </si>
  <si>
    <t xml:space="preserve">Anna Yeager</t>
  </si>
  <si>
    <t xml:space="preserve">Vice President, Marketing &amp; Franchise</t>
  </si>
  <si>
    <t xml:space="preserve">Lucasfilm</t>
  </si>
  <si>
    <t xml:space="preserve">https://www.linkedin.com/in/anna-yeager-2b767898/</t>
  </si>
  <si>
    <t xml:space="preserve">VP marketing/franchise — relevant for brand partnership angle.</t>
  </si>
  <si>
    <t xml:space="preserve">Daniel Seah</t>
  </si>
  <si>
    <t xml:space="preserve">https://nz.linkedin.com/in/daniel-seah-28b62492</t>
  </si>
  <si>
    <t xml:space="preserve">Top executive at Weta FX.</t>
  </si>
  <si>
    <t xml:space="preserve">Sudhir Reddy</t>
  </si>
  <si>
    <t xml:space="preserve">President, Global VFX Business</t>
  </si>
  <si>
    <t xml:space="preserve">https://in.linkedin.com/in/1sr</t>
  </si>
  <si>
    <t xml:space="preserve">India-based president of global VFX business — strong fit for India Ambassador outreach.</t>
  </si>
  <si>
    <t xml:space="preserve">Mel Sullivan</t>
  </si>
  <si>
    <t xml:space="preserve">https://www.linkedin.com/in/mel-sullivan-772b1669/</t>
  </si>
  <si>
    <t xml:space="preserve">Top decision-maker for sponsorship/brand budget at Framestore.</t>
  </si>
  <si>
    <t xml:space="preserve">Rick Elliott</t>
  </si>
  <si>
    <t xml:space="preserve">President, Panasonic Connect North America</t>
  </si>
  <si>
    <t xml:space="preserve">Panasonic</t>
  </si>
  <si>
    <t xml:space="preserve">https://www.linkedin.com/in/rick-elliott-9915a211/</t>
  </si>
  <si>
    <t xml:space="preserve">Top North America executive, full budget authority over regional decisions.</t>
  </si>
  <si>
    <t xml:space="preserve">Jayson Cummins</t>
  </si>
  <si>
    <t xml:space="preserve">President, Panasonic Connect NA – Professional Services</t>
  </si>
  <si>
    <t xml:space="preserve">https://www.linkedin.com/in/jayson-cummins-15a45116/</t>
  </si>
  <si>
    <t xml:space="preserve">Second senior P&amp;L leader at Panasonic Connect NA.</t>
  </si>
  <si>
    <t xml:space="preserve">KY Shim</t>
  </si>
  <si>
    <t xml:space="preserve">Head of Platform Partnership Office</t>
  </si>
  <si>
    <t xml:space="preserve">LG Electronics</t>
  </si>
  <si>
    <t xml:space="preserve">https://www.linkedin.com/in/ky-shim-2901071/</t>
  </si>
  <si>
    <t xml:space="preserve">Runs LG's strategic partnerships office.</t>
  </si>
  <si>
    <t xml:space="preserve">Mike Isgrig</t>
  </si>
  <si>
    <t xml:space="preserve">VP, North America Consumer Sales &amp; Marketing</t>
  </si>
  <si>
    <t xml:space="preserve">Epson America</t>
  </si>
  <si>
    <t xml:space="preserve">https://www.linkedin.com/in/mike-isgrig-3507058/</t>
  </si>
  <si>
    <t xml:space="preserve">Owns consumer brand marketing budget at Epson America.</t>
  </si>
  <si>
    <t xml:space="preserve">Mike Helm</t>
  </si>
  <si>
    <t xml:space="preserve">Director of Marketing</t>
  </si>
  <si>
    <t xml:space="preserve">https://www.linkedin.com/in/mike-helm-5767226/</t>
  </si>
  <si>
    <t xml:space="preserve">Second senior marketing contact at Epson America.</t>
  </si>
  <si>
    <t xml:space="preserve">Jack Peterson</t>
  </si>
  <si>
    <t xml:space="preserve">https://www.linkedin.com/in/jack-peterson-6533015/</t>
  </si>
  <si>
    <t xml:space="preserve">Top marketing decision-maker for the gaming/creator hardware brand.</t>
  </si>
  <si>
    <t xml:space="preserve">Peter Kingsley</t>
  </si>
  <si>
    <t xml:space="preserve">Chief Marketing Officer, Logitech G</t>
  </si>
  <si>
    <t xml:space="preserve">https://www.linkedin.com/in/peterkingsley/</t>
  </si>
  <si>
    <t xml:space="preserve">CMO of the gaming/creator-facing Logitech G brand.</t>
  </si>
  <si>
    <t xml:space="preserve">Ujesh Desai</t>
  </si>
  <si>
    <t xml:space="preserve">VP &amp; General Manager, Gaming</t>
  </si>
  <si>
    <t xml:space="preserve">https://www.linkedin.com/in/ujeshdesai/</t>
  </si>
  <si>
    <t xml:space="preserve">Senior GM with P&amp;L and brand-partnership authority.</t>
  </si>
  <si>
    <t xml:space="preserve">Dan Kelley</t>
  </si>
  <si>
    <t xml:space="preserve">VP, Gaming Solutions and Experiences</t>
  </si>
  <si>
    <t xml:space="preserve">HP Inc</t>
  </si>
  <si>
    <t xml:space="preserve">https://www.linkedin.com/in/dankelley1/</t>
  </si>
  <si>
    <t xml:space="preserve">Leads HP's OMEN/gaming experience strategy.</t>
  </si>
  <si>
    <t xml:space="preserve">Kip Schauer</t>
  </si>
  <si>
    <t xml:space="preserve">Global Head of Media and Entertainment, Google Cloud</t>
  </si>
  <si>
    <t xml:space="preserve">Google Cloud</t>
  </si>
  <si>
    <t xml:space="preserve">https://www.linkedin.com/in/kip-schauer-b9805a1/</t>
  </si>
  <si>
    <t xml:space="preserve">Exact-match role — leads Google Cloud's global M&amp;E industry vertical.</t>
  </si>
  <si>
    <t xml:space="preserve">Steve Canepa</t>
  </si>
  <si>
    <t xml:space="preserve">GM, Global Media and Entertainment Industry</t>
  </si>
  <si>
    <t xml:space="preserve">https://www.linkedin.com/in/steve-canepa-a70840a/</t>
  </si>
  <si>
    <t xml:space="preserve">IBM's global GM for the Media &amp; Entertainment vertical (incl. watsonx AI).</t>
  </si>
  <si>
    <t xml:space="preserve">Sarah Malkin</t>
  </si>
  <si>
    <t xml:space="preserve">Director of Entertainment Content, Reality Labs</t>
  </si>
  <si>
    <t xml:space="preserve">https://www.linkedin.com/in/sarah-malkin/</t>
  </si>
  <si>
    <t xml:space="preserve">Strongest fit for film/entertainment festival at Meta Reality Labs.</t>
  </si>
  <si>
    <t xml:space="preserve">Colan Sewell</t>
  </si>
  <si>
    <t xml:space="preserve">VP, Chief Revenue Officer, Reality Labs</t>
  </si>
  <si>
    <t xml:space="preserve">https://www.linkedin.com/in/colansewell/</t>
  </si>
  <si>
    <t xml:space="preserve">Most senior revenue/partnerships executive in Reality Labs.</t>
  </si>
  <si>
    <t xml:space="preserve">WAIFF India — Gmail Tracker (one send per company)</t>
  </si>
  <si>
    <t xml:space="preserve">One body per company: best address in To:, other addresses at that same company in BCC. Never BCC across different companies. Row 4 is an example only.</t>
  </si>
  <si>
    <t xml:space="preserve">Date sent</t>
  </si>
  <si>
    <t xml:space="preserve">Channel</t>
  </si>
  <si>
    <t xml:space="preserve">To address</t>
  </si>
  <si>
    <t xml:space="preserve">BCC addresses</t>
  </si>
  <si>
    <t xml:space="preserve">Subject line</t>
  </si>
  <si>
    <t xml:space="preserve">Bounced? (Y/N)</t>
  </si>
  <si>
    <t xml:space="preserve">Reply received? (Y/N)</t>
  </si>
  <si>
    <t xml:space="preserve">Follow-up Day 4 sent (Y/N)</t>
  </si>
  <si>
    <t xml:space="preserve">Follow-up Day 11 sent (Y/N)</t>
  </si>
  <si>
    <t xml:space="preserve">Follow-up Day 25 sent (Y/N)</t>
  </si>
  <si>
    <t xml:space="preserve">Meeting booked? (Y/N)</t>
  </si>
  <si>
    <t xml:space="preserve">Meeting date</t>
  </si>
  <si>
    <t xml:space="preserve">Partnership Opportunity with WAIFF India — Radisson Blu x World AI Film Festival</t>
  </si>
  <si>
    <t xml:space="preserve">Sent before this tracker existed — backfilled from Gmail search 3 Sep 2026. Anuj Kumar (Marketing Manager, South Asia) asked 3 specific questions before a call. Replied 3 Sep 2026: covered India edition (Dec 2026, Mumbai), JW Marriott Cannes as existing global sponsor, what Radisson gets (network-wide visibility, access, association) and what WAiFF needs (VIP accommodation/hosting, brand partner role, not just venue). No Canva/deck link sent per standing rule. Asked for a call after 2 PM IST. Awaiting reply.</t>
  </si>
  <si>
    <t xml:space="preserve">(BCC only — see BCC column)</t>
  </si>
  <si>
    <t xml:space="preserve">Partnership Opportunity with WAIFF India — EPAM Systems x World AI Film Festival</t>
  </si>
  <si>
    <t xml:space="preserve">Sent before this tracker existed — backfilled from Gmail search 3 Sep 2026. Nandini Bhatnagar (Sr Director Marketing) wants to talk after Sept 9. Replied 3 Sep 2026 confirming availability anytime after 12:00 PM IST, around 4:00 PM IST or later. Awaiting her scheduling reply.</t>
  </si>
  <si>
    <t xml:space="preserve">Partnership Opportunity with WAIFF India — Adani Digital Labs x World AI Film Festival</t>
  </si>
  <si>
    <t xml:space="preserve">Sent before this tracker existed — backfilled from Gmail search 3 Sep 2026. BOUNCE: 4 of 8 BCC addresses bounced (cgarg@adanidigitallabs.com, hrishik.jethi@adani.com, manishsingh.payal@adani.com, digitallabs@adani.com)</t>
  </si>
  <si>
    <t xml:space="preserve">Partnership Opportunity with WAIFF India — Adani AI Labs x World AI Film Festival</t>
  </si>
  <si>
    <t xml:space="preserve">Sent before this tracker existed — backfilled from Gmail search 3 Sep 2026. BOUNCE: 1 of 4 BCC addresses bounced (tanushyam.chattopadhyay@adani.com); also sent separately to Shalini Singh direct</t>
  </si>
  <si>
    <t xml:space="preserve">Partnership Opportunity with WAIFF India — Freshworks x World AI Film Festival</t>
  </si>
  <si>
    <t xml:space="preserve">Sent before this tracker existed — backfilled from Gmail search 3 Sep 2026. Automated support-ticket confirmation only — not a personal reply, no action needed yet</t>
  </si>
  <si>
    <t xml:space="preserve">Partnership Opportunity with WAIFF India — Zoho x World AI Film Festival</t>
  </si>
  <si>
    <t xml:space="preserve">Sent before this tracker existed — backfilled from Gmail search 3 Sep 2026. Automated partner-ticket confirmation + generic sales-team reply — not personalized, no action needed yet</t>
  </si>
  <si>
    <t xml:space="preserve">Partnership Opportunity with WAIFF India — Myntra x World AI Film Festival</t>
  </si>
  <si>
    <t xml:space="preserve">Sent before this tracker existed — backfilled from Gmail search 3 Sep 2026. BOUNCE: Address not found (bounced) — only address used, no BCC alternates</t>
  </si>
  <si>
    <t xml:space="preserve">Partnership Opportunity with WAIFF India — Tech Mahindra x World AI Film Festival</t>
  </si>
  <si>
    <t xml:space="preserve">Sent before this tracker existed — backfilled from Gmail search 3 Sep 2026.</t>
  </si>
  <si>
    <t xml:space="preserve">Partnership Opportunity with WAIFF India — BenQ India x World AI Film Festival</t>
  </si>
  <si>
    <t xml:space="preserve">Partnership Opportunity with WAIFF India — Sennheiser x World AI Film Festival</t>
  </si>
  <si>
    <t xml:space="preserve">Partnering with WAiFF India — Runway x World AI Film Festival</t>
  </si>
  <si>
    <t xml:space="preserve">Real send, confirmed via Gmail — landed clean, no bounce, no reply yet.</t>
  </si>
  <si>
    <t xml:space="preserve">WAIFF India x Runway — AI Cinema Partnership</t>
  </si>
  <si>
    <t xml:space="preserve">WAIFF India x Genmo — AI Cinema Partnership</t>
  </si>
  <si>
    <t xml:space="preserve">WAIFF India x Shengshu Technology (Vidu) — AI Cinema Partnership</t>
  </si>
  <si>
    <t xml:space="preserve">WAIFF India x ElevenLabs — AI Cinema Partnership</t>
  </si>
  <si>
    <t xml:space="preserve">WAIFF India x Murf AI — AI Cinema Partnership</t>
  </si>
  <si>
    <t xml:space="preserve">WAIFF India x NeuralGarage — AI Cinema Partnership</t>
  </si>
  <si>
    <t xml:space="preserve">WAIFF India x Synthesia — AI Cinema Partnership</t>
  </si>
  <si>
    <t xml:space="preserve">WAIFF India x OpusClip (Opus.pro) — AI Cinema Partnership</t>
  </si>
  <si>
    <t xml:space="preserve">WAIFF India x Captions (Mirage) — AI Cinema Partnership</t>
  </si>
  <si>
    <t xml:space="preserve">WAIFF India x Topaz Labs — AI Cinema Partnership</t>
  </si>
  <si>
    <t xml:space="preserve">WAIFF India x Black Forest Labs — AI Cinema Partnership</t>
  </si>
  <si>
    <t xml:space="preserve">WAIFF India x Stability AI — AI Cinema Partnership</t>
  </si>
  <si>
    <t xml:space="preserve">WAIFF India x NVIDIA — AI Cinema Partnership</t>
  </si>
  <si>
    <t xml:space="preserve">WAIFF India x Qualcomm — AI Cinema Partnership</t>
  </si>
  <si>
    <t xml:space="preserve">WAIFF India x Sony India — AI Cinema Partnership</t>
  </si>
  <si>
    <t xml:space="preserve">WAIFF India x Harman International (JBL) — AI Cinema Partnership</t>
  </si>
  <si>
    <t xml:space="preserve">WAIFF India x Zebronics — AI Cinema Partnership</t>
  </si>
  <si>
    <t xml:space="preserve">WAIFF India x Dell Technologies India — AI Cinema Partnership</t>
  </si>
  <si>
    <t xml:space="preserve">WAIFF India x ASUS India — AI Cinema Partnership</t>
  </si>
  <si>
    <t xml:space="preserve">WAIFF India x Lenovo India — AI Cinema Partnership</t>
  </si>
  <si>
    <t xml:space="preserve">WAIFF India x Western Digital (SanDisk Professional) — AI Cinema Partnership</t>
  </si>
  <si>
    <t xml:space="preserve">WAIFF India x Samsung India — AI Cinema Partnership</t>
  </si>
  <si>
    <t xml:space="preserve">WAIFF India x Krutrim AI (Ola Krutrim) — AI Cinema Partnership</t>
  </si>
  <si>
    <t xml:space="preserve">WAIFF India x Yotta Data Services — AI Cinema Partnership</t>
  </si>
  <si>
    <t xml:space="preserve">WAIFF India x E2E Networks — AI Cinema Partnership</t>
  </si>
  <si>
    <t xml:space="preserve">WAIFF India x Netweb Technologies — AI Cinema Partnership</t>
  </si>
  <si>
    <t xml:space="preserve">WAIFF India x CtrlS Datacenters — AI Cinema Partnership</t>
  </si>
  <si>
    <t xml:space="preserve">WAIFF India x Nikon India / RED Digital Cinema — AI Cinema Partnership</t>
  </si>
  <si>
    <t xml:space="preserve">WAIFF India x Panasonic (Lumix) India — AI Cinema Partnership</t>
  </si>
  <si>
    <t xml:space="preserve">WAIFF India x Fractal Analytics — AI Cinema Partnership</t>
  </si>
  <si>
    <t xml:space="preserve">Business Opportunity form submitted 3 Sep 2026, reply-to adiup394@gmail.com. Note: message field had a stray phone-number prefix due to a form-fill glitch, rest of message intact. | Status normalised 6 Sep: this is a FORM row that read "Sent". Form was submitted 3 Sep. Do not re-fill.</t>
  </si>
  <si>
    <t xml:space="preserve">AMD Media &amp; Entertainment Solutions Inquiry</t>
  </si>
  <si>
    <t xml:space="preserve">All fields filled (name/title/company/email/phone/message) 3 Sep 2026 but the form has a reCAPTCHA gate - Claude does not complete CAPTCHAs. Aditya needs to open the form, check the box, and click Submit himself. | MULTI-CHANNEL, not a duplicate: this is the AMD media-and-entertainment enquiry FORM (3 Sep, still needs manual CAPTCHA). The AMD EMAIL send is logged separately at row 102 (6 Sep). Count AMD once when reporting company totals.</t>
  </si>
  <si>
    <t xml:space="preserve">WAIFF India — an opportunity to organize and own the India edition</t>
  </si>
  <si>
    <t xml:space="preserve">Business Query - Brand Partnerships / Talent Management</t>
  </si>
  <si>
    <t xml:space="preserve">Draft ready</t>
  </si>
  <si>
    <t xml:space="preserve">Business Queries form filled 3 Sep 2026 (Purpose: Brand Partnerships/Talent Management, name, email, address, detailed message referencing Hemant Kundnani's Head of Marketing appointment). Form has a text CAPTCHA - left for Aditya to complete and submit manually, per the no-CAPTCHA-solving rule.</t>
  </si>
  <si>
    <t xml:space="preserve">WAIFF India x Avid Technology — AI Cinema Partnership</t>
  </si>
  <si>
    <t xml:space="preserve">Sent 3 Sep 2026 - Global enterprise/fresh candidate batch, sponsor track.</t>
  </si>
  <si>
    <t xml:space="preserve">WAIFF India x Foundry — AI Cinema Partnership</t>
  </si>
  <si>
    <t xml:space="preserve">WAIFF India x Insta360 — AI Cinema Partnership</t>
  </si>
  <si>
    <t xml:space="preserve">Partnering with WAiFF India — Envato x World AI Film Festival</t>
  </si>
  <si>
    <t xml:space="preserve">Elements/stock-content + AI creative tools company. Sent to business@envato.com (business inquiries address). Gmail id 1a0689153454235e.</t>
  </si>
  <si>
    <t xml:space="preserve">N/A — web form</t>
  </si>
  <si>
    <t xml:space="preserve">Genuine "Partner with us" form (studios/directors/filmmakers/agencies/advertisers/brands). Filled Name, Email, Organization, and message covering WAiFF scale + Moonvalley's licensed-data Marey model + CAA/Comcast Ventures funding. Confirmed "Thank you! You have successfully submitted." 3 Sep 2026. | Status normalised 6 Sep: this is a FORM row that read "Sent". Form was submitted 3 Sep. Do not re-fill.</t>
  </si>
  <si>
    <t xml:space="preserve">Partnering with WAiFF India — GoPro x World AI Film Festival</t>
  </si>
  <si>
    <t xml:space="preserve">Sponsor@gopro.com bounced 3 Sep — "address couldn't be found." The address was real (verified via GoPro's own X/Twitter reply) but appears defunct now. Not counted as a landed send. Needs a fresh channel if pursued again.</t>
  </si>
  <si>
    <t xml:space="preserve">Partnering with WAiFF India — Christie x World AI Film Festival</t>
  </si>
  <si>
    <t xml:space="preserve">Christie's own site explicitly labels this "Public Relations or sponsorship" contact — qualifies as sponsorship-typed. Cinema projection technology company, directly relevant to festival exhibition. Gmail id 1a068a58e2898876.</t>
  </si>
  <si>
    <t xml:space="preserve">Partnership Opportunity with WAIFF India — D-ID x World AI Film Festival</t>
  </si>
  <si>
    <t xml:space="preserve">Partnership Opportunity with WAIFF India — Krea AI x World AI Film Festival</t>
  </si>
  <si>
    <t xml:space="preserve">press@krea.ai bounced despite being decoded from official press page — Cloudflare-obfuscated address decode may have been imperfect, or inbox retired.</t>
  </si>
  <si>
    <t xml:space="preserve">Partnership Opportunity with WAIFF India — Character.AI x World AI Film Festival</t>
  </si>
  <si>
    <t xml:space="preserve">Partnership Opportunity with WAIFF India — CoRover x World AI Film Festival</t>
  </si>
  <si>
    <t xml:space="preserve">Partnership Opportunity with WAIFF India — Haptik x World AI Film Festival</t>
  </si>
  <si>
    <t xml:space="preserve">WAIFF India x FICCI FRAMES — an AI cinema collaboration for the September edition</t>
  </si>
  <si>
    <t xml:space="preserve">WAIFF India — partnership query for Zee Studios / Zee Entertainment</t>
  </si>
  <si>
    <t xml:space="preserve">iifa.com/contact/ (Partnerships desk — Brand Collaboration)</t>
  </si>
  <si>
    <t xml:space="preserve">N/A — form submission, not email</t>
  </si>
  <si>
    <t xml:space="preserve">Confirmed: "Thank you. Your enquiry has been sent to the IIFA team." | Status normalised 6 Sep: this is a FORM row that read "Sent". Submission confirmed 4 Sep with an on-screen acknowledgement from the IIFA team. Do not re-fill.</t>
  </si>
  <si>
    <t xml:space="preserve">WAIFF India Edition — a possible collaboration with NFDC</t>
  </si>
  <si>
    <t xml:space="preserve">Government/Institutional track</t>
  </si>
  <si>
    <t xml:space="preserve">WAIFF India Edition, Mumbai (Dec 2026) — exploring Maharashtra Film City as a venue partner</t>
  </si>
  <si>
    <t xml:space="preserve">WAiFF x Four Seasons Hotel Mumbai — India, this December</t>
  </si>
  <si>
    <t xml:space="preserve">Relevance: Premium venue with a luxury-events sales lead named directly on the hotel's own press page</t>
  </si>
  <si>
    <t xml:space="preserve">an AI film festival, Taj Hotels</t>
  </si>
  <si>
    <t xml:space="preserve">Relevance: India's most recognized hospitality brand, dedicated events inbox</t>
  </si>
  <si>
    <t xml:space="preserve">ITC Hotels — a Cannes-born festival lands in Mumbai</t>
  </si>
  <si>
    <t xml:space="preserve">Relevance: Major Indian hospitality group with dedicated event infrastructure</t>
  </si>
  <si>
    <t xml:space="preserve">WAiFF's India launch — Grand Hyatt Mumbai fit?</t>
  </si>
  <si>
    <t xml:space="preserve">Relevance: Premium Mumbai venue with two dedicated sales/events addresses</t>
  </si>
  <si>
    <t xml:space="preserve">WAiFF x JW Marriott Mumbai Sahar — India, this December</t>
  </si>
  <si>
    <t xml:space="preserve">Relevance: Major Marriott property near the airport, active events business | DO NOT CONTACT. Aditya confirmed 6 Sep that his other partner has already reached out to JW Marriott Mumbai Sahar. Form deliberately NOT filled. Any future batch must exclude this company to avoid a duplicate approach from two people.</t>
  </si>
  <si>
    <t xml:space="preserve">an AI film festival, Dabur India</t>
  </si>
  <si>
    <t xml:space="preserve">Relevance: One of India's largest FMCG houses with a long history of cultural sponsorships</t>
  </si>
  <si>
    <t xml:space="preserve">Paper Boat — a Cannes-born festival lands in Mumbai</t>
  </si>
  <si>
    <t xml:space="preserve">Relevance: Experiential-marketing-native beverage brand, natural fit for a festival activation</t>
  </si>
  <si>
    <t xml:space="preserve">WAiFF x PhonePe — India, this December</t>
  </si>
  <si>
    <t xml:space="preserve">Relevance: India's largest UPI player, strong brand-visibility appetite | AUDIT FINDING (6 Sep Gmail check): this pitch was sent to PhonePe 3 times within ~15 min (14:06, 14:17, 14:22 IST) — a duplicate-send error, not 3 separate outreaches. Treat as ONE real send.</t>
  </si>
  <si>
    <t xml:space="preserve">WAiFF x SonyLIV — India, this December</t>
  </si>
  <si>
    <t xml:space="preserve">Relevance: Major Indian OTT platform, natural distribution/organizer angle</t>
  </si>
  <si>
    <t xml:space="preserve">an AI film festival, hoichoi</t>
  </si>
  <si>
    <t xml:space="preserve">Relevance: Fast-growing regional OTT platform with a named partnerships routing | AUDIT FINDING (6 Sep Gmail check): this pitch was sent to hoichoi 3 times within ~15 min, and hoichoi auto-replied each time asking to email sayantan.guha@hoichoi.tv directly instead of support@hoichoi.tv. Wrong-channel — needs a fresh, single send to sayantan.guha@hoichoi.tv.</t>
  </si>
  <si>
    <t xml:space="preserve">IndiaAI Mission — a Cannes-born festival lands in Mumbai</t>
  </si>
  <si>
    <t xml:space="preserve">Relevance: India's flagship government AI initiative — direct institutional-partner analog for an AI film festival | AUDIT FINDING (6 Sep Gmail check): this pitch was sent to IndiaAI Mission 3 times within ~15 min (14:07, 14:18, 14:22 IST) — a duplicate-send error, not 3 separate outreaches. Treat as ONE real send.</t>
  </si>
  <si>
    <t xml:space="preserve">WAiFF's India launch — CBFC fit?</t>
  </si>
  <si>
    <t xml:space="preserve">Relevance: India's film certification authority — institutional legitimacy for an AI-generated-film festival | AUDIT FINDING (6 Sep Gmail check): this pitch was sent to CBFC 3 times within ~15 min (14:07, 14:18, 14:23 IST) — a duplicate-send error, not 3 separate outreaches. Treat as ONE real send.</t>
  </si>
  <si>
    <t xml:space="preserve">WAiFF x FTII — India, this December</t>
  </si>
  <si>
    <t xml:space="preserve">Relevance: India's premier film school — a natural jury/masterclass/academic-partner pipeline</t>
  </si>
  <si>
    <t xml:space="preserve">an AI film festival, SRFTI</t>
  </si>
  <si>
    <t xml:space="preserve">Relevance: Leading Indian film institute with a digital-media specialization closest to AI filmmaking</t>
  </si>
  <si>
    <t xml:space="preserve">Startup Mahakumbh — a Cannes-born festival lands in Mumbai</t>
  </si>
  <si>
    <t xml:space="preserve">Relevance: Government-linked flagship startup platform, real named contact</t>
  </si>
  <si>
    <t xml:space="preserve">WAiFF's India launch — Maharashtra Directorate of Tourism fit?</t>
  </si>
  <si>
    <t xml:space="preserve">Relevance: State-government culture/tourism channel for an India-launch story based in Mumbai</t>
  </si>
  <si>
    <t xml:space="preserve">WAiFF x Anthropic — India, this December</t>
  </si>
  <si>
    <t xml:space="preserve">Relevance: Leading AI lab, natural thought-leadership fit for an AI film festival</t>
  </si>
  <si>
    <t xml:space="preserve">an AI film festival, Mistral AI</t>
  </si>
  <si>
    <t xml:space="preserve">Relevance: Major European AI lab with an events-scoped contact channel</t>
  </si>
  <si>
    <t xml:space="preserve">Hugging Face — a Cannes-born festival lands in Mumbai</t>
  </si>
  <si>
    <t xml:space="preserve">Relevance: The hub many AI filmmaking tools are built on top of</t>
  </si>
  <si>
    <t xml:space="preserve">WAiFF's India launch — Magnific AI fit?</t>
  </si>
  <si>
    <t xml:space="preserve">Relevance: AI upscaling/creative tool with a formal, named partner program — the strongest-typed match in this batch</t>
  </si>
  <si>
    <t xml:space="preserve">WAiFF x Deepgram — India, this December</t>
  </si>
  <si>
    <t xml:space="preserve">Relevance: Voice-AI infra vendor relevant to AI film sound/dubbing</t>
  </si>
  <si>
    <t xml:space="preserve">an AI film festival, AssemblyAI</t>
  </si>
  <si>
    <t xml:space="preserve">Relevance: Speech recognition/AI infra relevant to AI film production pipelines | Do NOT fill this form. AssemblyAI already declined by email on 5 Sep, twice, stating they do not evaluate festival, sponsorship or partnership proposals through any channel. Filling the sales form would be a re-approach after a firm no.</t>
  </si>
  <si>
    <t xml:space="preserve">Replicate — a Cannes-born festival lands in Mumbai</t>
  </si>
  <si>
    <t xml:space="preserve">Relevance: Infrastructure layer for AI creative tooling</t>
  </si>
  <si>
    <t xml:space="preserve">WAiFF's India launch — Leonardo AI fit?</t>
  </si>
  <si>
    <t xml:space="preserve">Relevance: AI creative tool with growing enterprise reach</t>
  </si>
  <si>
    <t xml:space="preserve">WAiFF x Krikey AI — India, this December</t>
  </si>
  <si>
    <t xml:space="preserve">Relevance: AI animation/mocap tool, direct filmmaking-adjacent fit</t>
  </si>
  <si>
    <t xml:space="preserve">AI Business &amp; Enterprise Partnership Opportunity — WAIFF India x ServiceNow</t>
  </si>
  <si>
    <t xml:space="preserve">Found via 6 Sep Gmail audit (not originally logged this session). Global enterprise AI platform; CC'd press@/emeapr@/APJmedia@servicenow.com</t>
  </si>
  <si>
    <t xml:space="preserve">AI Compute &amp; Infrastructure Partnership Opportunity — WAIFF India x AMD</t>
  </si>
  <si>
    <t xml:space="preserve">Found via 6 Sep Gmail audit (not originally logged this session). Major AI compute/GPU vendor | MULTI-CHANNEL, not a duplicate: this is the AMD EMAIL send (6 Sep, found via Gmail audit). The AMD enquiry FORM attempt is logged separately at row 45 (3 Sep). Count AMD once when reporting company totals.</t>
  </si>
  <si>
    <t xml:space="preserve">AI Compute &amp; Infrastructure Partnership Opportunity — WAIFF India x Intel</t>
  </si>
  <si>
    <t xml:space="preserve">Found via 6 Sep Gmail audit (not originally logged this session). oneventseries@intel.com bounced - address not found; other BCC addresses may have landed</t>
  </si>
  <si>
    <t xml:space="preserve">AI Compute &amp; Infrastructure Partnership Opportunity — WAIFF India x Supermicro</t>
  </si>
  <si>
    <t xml:space="preserve">Found via 6 Sep Gmail audit (not originally logged this session). AI server/infra hardware vendor; CC marketing@supermicro.com</t>
  </si>
  <si>
    <t xml:space="preserve">Technology Partnership Opportunity — WAIFF India x YuVerse</t>
  </si>
  <si>
    <t xml:space="preserve">Found via 6 Sep Gmail audit (not originally logged this session). AI decision-infra company</t>
  </si>
  <si>
    <t xml:space="preserve">Ecosystem Partnership Opportunity — WAIFF India x T-Hub</t>
  </si>
  <si>
    <t xml:space="preserve">Found via 6 Sep Gmail audit (not originally logged this session). India's largest startup incubator/ecosystem body</t>
  </si>
  <si>
    <t xml:space="preserve">Media Partnership Opportunity — WAIFF India x Inc42 Media</t>
  </si>
  <si>
    <t xml:space="preserve">Found via 6 Sep Gmail audit (not originally logged this session). India's largest tech/startup media platform - potential media partner</t>
  </si>
  <si>
    <t xml:space="preserve">Event Management Partnership Opportunity — WAIFF India x IA-Meetings</t>
  </si>
  <si>
    <t xml:space="preserve">Found via 6 Sep Gmail audit (not originally logged this session). Global event management company; one BCC domain bounced</t>
  </si>
  <si>
    <t xml:space="preserve">Partnership Opportunity - Pictory x World AI Film Festival (WAiFF)</t>
  </si>
  <si>
    <t xml:space="preserve">Found via 6 Sep Gmail audit (not originally logged this session). AI video creation platform (Pictory 2.0)</t>
  </si>
  <si>
    <t xml:space="preserve">Partnership Opportunity - Hedra x World AI Film Festival (WAiFF)</t>
  </si>
  <si>
    <t xml:space="preserve">Found via 6 Sep Gmail audit (not originally logged this session). AI avatar/generative media platform, $32M Series A</t>
  </si>
  <si>
    <t xml:space="preserve">Partnership Opportunity - Ola x World AI Film Festival (WAiFF)</t>
  </si>
  <si>
    <t xml:space="preserve">Found via 6 Sep Gmail audit (not originally logged this session). Major Indian mobility brand moving toward IPO (distinct from Ola Krutrim/Krutrim AI, already tracked separately)</t>
  </si>
  <si>
    <t xml:space="preserve">Partnership Opportunity - Corsair x World AI Film Festival (WAiFF)</t>
  </si>
  <si>
    <t xml:space="preserve">Found via 6 Sep Gmail audit (not originally logged this session). AI hardware/workstation vendor (CORSAIR PRO line)</t>
  </si>
  <si>
    <t xml:space="preserve">Partnership Opportunity - PixVerse x World AI Film Festival</t>
  </si>
  <si>
    <t xml:space="preserve">Found via 6 Sep Gmail audit (not originally logged this session). AI video unicorn, $300M round</t>
  </si>
  <si>
    <t xml:space="preserve">Partnership Opportunity - Recraft x World AI Film Festival</t>
  </si>
  <si>
    <t xml:space="preserve">Found via 6 Sep Gmail audit (not originally logged this session). Generative AI design platform, $30M Series B</t>
  </si>
  <si>
    <t xml:space="preserve">Partnership Opportunity - IndiGo x World AI Film Festival</t>
  </si>
  <si>
    <t xml:space="preserve">Found via 6 Sep Gmail audit (not originally logged this session). India's largest airline, international expansion story</t>
  </si>
  <si>
    <t xml:space="preserve">Partnership Opportunity - Yashobhoomi IICC x World AI Film Festival</t>
  </si>
  <si>
    <t xml:space="preserve">Found via 6 Sep Gmail audit (not originally logged this session). Major convention/expo venue in Delhi</t>
  </si>
  <si>
    <t xml:space="preserve">Partnership Opportunity - DLF x World AI Film Festival</t>
  </si>
  <si>
    <t xml:space="preserve">Found via 6 Sep Gmail audit (not originally logged this session). Major Indian real estate/retail group, new mall launches</t>
  </si>
  <si>
    <t xml:space="preserve">Partnership Opportunity - The Park Hotels x World AI Film Festival</t>
  </si>
  <si>
    <t xml:space="preserve">Found via 6 Sep Gmail audit (not originally logged this session). Address not found - bounced, needs fresh contact if repursued</t>
  </si>
  <si>
    <t xml:space="preserve">Partnership Opportunity - Videndum x World AI Film Festival</t>
  </si>
  <si>
    <t xml:space="preserve">Found via 6 Sep Gmail audit (not originally logged this session). Parent of Vinten/Teradek/SmallHD/Manfrotto, film production equipment</t>
  </si>
  <si>
    <t xml:space="preserve">Partnership Opportunity - Hollyland x World AI Film Festival</t>
  </si>
  <si>
    <t xml:space="preserve">Found via 6 Sep Gmail audit (not originally logged this session). Wireless video transmission systems, IBC 2026 exhibitor</t>
  </si>
  <si>
    <t xml:space="preserve">Partnership Opportunity - Godox x World AI Film Festival</t>
  </si>
  <si>
    <t xml:space="preserve">Found via 6 Sep Gmail audit (not originally logged this session). Lighting/flash equipment for filmmakers</t>
  </si>
  <si>
    <t xml:space="preserve">Partnership Opportunity - Micron x World AI Film Festival</t>
  </si>
  <si>
    <t xml:space="preserve">Found via 6 Sep Gmail audit (not originally logged this session). AI memory/semiconductor, $2.75B India facility</t>
  </si>
  <si>
    <t xml:space="preserve">Partnership Opportunity - Seagate x World AI Film Festival</t>
  </si>
  <si>
    <t xml:space="preserve">Found via 6 Sep Gmail audit (not originally logged this session). Storage infra for AI/media, named contact</t>
  </si>
  <si>
    <t xml:space="preserve">Partnership Opportunity - Sigma x World AI Film Festival</t>
  </si>
  <si>
    <t xml:space="preserve">Found via 6 Sep Gmail audit (not originally logged this session). Cinema lens manufacturer</t>
  </si>
  <si>
    <t xml:space="preserve">Partnership Opportunity - ARRI x World AI Film Festival</t>
  </si>
  <si>
    <t xml:space="preserve">Found via 6 Sep Gmail audit (not originally logged this session). Premier cinema camera/color science brand</t>
  </si>
  <si>
    <t xml:space="preserve">Partnership Opportunity - DJI x World AI Film Festival</t>
  </si>
  <si>
    <t xml:space="preserve">Found via 6 Sep Gmail audit (not originally logged this session). Drone/handheld cinema camera brand, Osmo Pocket 4P debuted at Cannes</t>
  </si>
  <si>
    <t xml:space="preserve">Partnership Opportunity - Adobe x World AI Film Festival</t>
  </si>
  <si>
    <t xml:space="preserve">Found via 6 Sep Gmail audit (not originally logged this session). Adobe on Main / Sundance creative-tools sponsorship team - close analog</t>
  </si>
  <si>
    <t xml:space="preserve">Partnership Opportunity - Autodesk x World AI Film Festival</t>
  </si>
  <si>
    <t xml:space="preserve">Found via 6 Sep Gmail audit (not originally logged this session). Imagine Awards / creator-recognition program, named contact</t>
  </si>
  <si>
    <t xml:space="preserve">Partnership Opportunity - IBM x World AI Film Festival</t>
  </si>
  <si>
    <t xml:space="preserve">Found via 6 Sep Gmail audit (not originally logged this session). Enterprise AI, OpenAI partnership</t>
  </si>
  <si>
    <t xml:space="preserve">Partnership Opportunity - Logitech x World AI Film Festival</t>
  </si>
  <si>
    <t xml:space="preserve">Found via 6 Sep Gmail audit (not originally logged this session). Creator-community brand, PLAY 2025 showcase</t>
  </si>
  <si>
    <t xml:space="preserve">Partnership Opportunity - Digital Domain x World AI Film Festival</t>
  </si>
  <si>
    <t xml:space="preserve">Found via 6 Sep Gmail audit (not originally logged this session). Major VFX studio, new DDAI creative-AI infrastructure</t>
  </si>
  <si>
    <t xml:space="preserve">Partnership Opportunity - Weta FX x World AI Film Festival</t>
  </si>
  <si>
    <t xml:space="preserve">Found via 6 Sep Gmail audit (not originally logged this session). Premier VFX studio, new AMD AI-rendering partnership</t>
  </si>
  <si>
    <t xml:space="preserve">Partnership Opportunity - LG Electronics India x World AI Film Festival</t>
  </si>
  <si>
    <t xml:space="preserve">Found via 6 Sep Gmail audit (not originally logged this session). Major consumer electronics brand, named contact, NSE listing news</t>
  </si>
  <si>
    <t xml:space="preserve">Partnership Opportunity - Framestore x World AI Film Festival</t>
  </si>
  <si>
    <t xml:space="preserve">Found via 6 Sep Gmail audit (not originally logged this session). Major VFX studio, 15 VES Award nominations</t>
  </si>
  <si>
    <t xml:space="preserve">Partnership Opportunity - Industrial Light and Magic x World AI Film Festival</t>
  </si>
  <si>
    <t xml:space="preserve">Found via 6 Sep Gmail audit (not originally logged this session). Legendary VFX studio (Lucasfilm)</t>
  </si>
  <si>
    <t xml:space="preserve">Partnership Opportunity - CII x World AI Film Festival</t>
  </si>
  <si>
    <t xml:space="preserve">Found via 6 Sep Gmail audit (not originally logged this session). Institutional body, M&amp;E policy roadmap through 2030, named contact</t>
  </si>
  <si>
    <t xml:space="preserve">Partnership Opportunity - Startup India x World AI Film Festival</t>
  </si>
  <si>
    <t xml:space="preserve">Found via 6 Sep Gmail audit (not originally logged this session). Flagship government startup initiative, 10-year milestone</t>
  </si>
  <si>
    <t xml:space="preserve">Partnership Opportunity - The Oberoi Group x World AI Film Festival</t>
  </si>
  <si>
    <t xml:space="preserve">Found via 6 Sep Gmail audit (not originally logged this session). Luxury hotel group, named contact, active expansion</t>
  </si>
  <si>
    <t xml:space="preserve">Partnership Opportunity - MPC x World AI Film Festival</t>
  </si>
  <si>
    <t xml:space="preserve">Found via 6 Sep Gmail audit (not originally logged this session). Major VFX studio, named contact</t>
  </si>
  <si>
    <t xml:space="preserve">Partnership Opportunity - Shutterstock x World AI Film Festival</t>
  </si>
  <si>
    <t xml:space="preserve">Found via 6 Sep Gmail audit (not originally logged this session). Stock/licensing platform, OpenAI data partnership</t>
  </si>
  <si>
    <t xml:space="preserve">Partnership Opportunity - Microsoft x World AI Film Festival</t>
  </si>
  <si>
    <t xml:space="preserve">Found via 6 Sep Gmail audit (not originally logged this session). Named contact bounced - address not found, needs fresh contact if repursued. $17.5B India AI investment is the hook.</t>
  </si>
  <si>
    <t xml:space="preserve">Partnership Opportunity - Quantiphi x World AI Film Festival</t>
  </si>
  <si>
    <t xml:space="preserve">Found via 6 Sep Gmail audit (not originally logged this session). Applied AI/ML company, new CEO</t>
  </si>
  <si>
    <t xml:space="preserve">Partnership Opportunity - Google x World AI Film Festival</t>
  </si>
  <si>
    <t xml:space="preserve">Found via 6 Sep Gmail audit (not originally logged this session). Google for Startups Accelerator: India cohort</t>
  </si>
  <si>
    <t xml:space="preserve">Partnership Opportunity - Meta x World AI Film Festival</t>
  </si>
  <si>
    <t xml:space="preserve">Found via 6 Sep Gmail audit (not originally logged this session). Reliance Jamnagar AI data center partnership</t>
  </si>
  <si>
    <t xml:space="preserve">Partnership Opportunity - boAt x World AI Film Festival</t>
  </si>
  <si>
    <t xml:space="preserve">Found via 6 Sep Gmail audit (not originally logged this session). Major Indian consumer brand, moving toward public listing. REAL REPLY received - forwarded to concerned team, see Replies Tracker.</t>
  </si>
  <si>
    <t xml:space="preserve">Partnership Opportunity - Gan.ai x World AI Film Festival</t>
  </si>
  <si>
    <t xml:space="preserve">Found via 6 Sep Gmail audit (not originally logged this session). Personalized AI video generation, Indian AI-video company</t>
  </si>
  <si>
    <t xml:space="preserve">Partnership Opportunity - Kling AI x World AI Film Festival</t>
  </si>
  <si>
    <t xml:space="preserve">Found via 6 Sep Gmail audit (not originally logged this session). AI video model, ~$18B valuation, Tencent/Alibaba/Baidu backed</t>
  </si>
  <si>
    <t xml:space="preserve">Partnership Opportunity - Suno x World AI Film Festival</t>
  </si>
  <si>
    <t xml:space="preserve">Found via 6 Sep Gmail audit (not originally logged this session). AI music generation, $400M raise at $5B valuation</t>
  </si>
  <si>
    <t xml:space="preserve">Partnership Opportunity - Excel Entertainment x World AI Film Festival</t>
  </si>
  <si>
    <t xml:space="preserve">Found via 6 Sep Gmail audit (not originally logged this session). Major Bollywood production house, new-talent-backing mission (Excel Origins)</t>
  </si>
  <si>
    <t xml:space="preserve">Partnership Opportunity - Miraj Entertainment x World AI Film Festival</t>
  </si>
  <si>
    <t xml:space="preserve">Found via 6 Sep Gmail audit (not originally logged this session). Fast-expanding Indian multiplex chain</t>
  </si>
  <si>
    <t xml:space="preserve">Partnership Opportunity - Exhibitions India Group x World AI Film Festival</t>
  </si>
  <si>
    <t xml:space="preserve">Found via 6 Sep Gmail audit (not originally logged this session). Major event/exhibition organizer (Convergence India, Bharat Mandapam)</t>
  </si>
  <si>
    <t xml:space="preserve">Partnership Opportunity - Anibrain x World AI Film Festival</t>
  </si>
  <si>
    <t xml:space="preserve">Found via 6 Sep Gmail audit (not originally logged this session). Indian VFX/animation studio with international credits</t>
  </si>
  <si>
    <t xml:space="preserve">Partnership Opportunity - Cinepolis India x World AI Film Festival</t>
  </si>
  <si>
    <t xml:space="preserve">Found via 6 Sep Gmail audit (not originally logged this session). Major multiplex chain, 489 screens/41 cities</t>
  </si>
  <si>
    <t xml:space="preserve">Partnership Opportunity - the Ministry of Information and Broadcasting x World AI Film Festival</t>
  </si>
  <si>
    <t xml:space="preserve">Found via 6 Sep Gmail audit (not originally logged this session). Central govt ministry overseeing India's film/festival calendar (IFFI)</t>
  </si>
  <si>
    <t xml:space="preserve">Partnership Opportunity - SteelSeries x World AI Film Festival</t>
  </si>
  <si>
    <t xml:space="preserve">Partnership Opportunity: WAIFF India Edition x Perplexity AI</t>
  </si>
  <si>
    <t xml:space="preserve">Found via 6 Sep Gmail audit (not originally logged this session). Landed but only auto-replies/bot responses came back (publisher-program bot, support couldn't match account) - not a real lead yet, one BCC bounced</t>
  </si>
  <si>
    <t xml:space="preserve">WAIFF India Edition – Partnership Opportunity with Abundantia Entertainment</t>
  </si>
  <si>
    <t xml:space="preserve">Found via 6 Sep Gmail audit (not originally logged this session). LinkedIn-sourced contact (Vikram Malhotra) - connected on LinkedIn first, then emailed. Major Indian production house.</t>
  </si>
  <si>
    <t xml:space="preserve">vivo X300 Ultra and an AI film festival landing in Mumbai</t>
  </si>
  <si>
    <t xml:space="preserve">6 Sep quality batch (v3, individually written). Hook source: vivo X300 Ultra India debut at INR 1,59,999, precision imaging co-engineered with ZEISS (vivo India newsroom). 203 words. Meeting ask + IST offered. Website link only, no deck.</t>
  </si>
  <si>
    <t xml:space="preserve">Swiggy Weekends, Scan a Heart, and a film festival in Mumbai</t>
  </si>
  <si>
    <t xml:space="preserve">6 Sep quality batch (v3, individually written). Hook source: 'Swiggy Weekends' nationwide campaign and the AI-led 'Scan a Heart' Valentine's 2026 campaign (Storyboard18, MediaBrief). 204 words. Meeting ask + IST offered. Website link only, no deck.</t>
  </si>
  <si>
    <t xml:space="preserve">Bombay Exhibition Centre as a host partner, WAiFF India</t>
  </si>
  <si>
    <t xml:space="preserve">6 Sep quality batch (v3, individually written). Hook source: BEC/NESCO hosts large-format national shows in Mumbai including PAMEX 2026 (venue event calendars). 197 words. Meeting ask + IST offered. Website link only, no deck.</t>
  </si>
  <si>
    <t xml:space="preserve">Kore.ai and WAiFF's India edition, December</t>
  </si>
  <si>
    <t xml:space="preserve">6 Sep quality batch (v3, individually written). Hook source: Kore.ai secured a $150M strategic growth investment from AllianceBernstein to scale agentic enterprise AI (kore.ai newsroom). 201 words. Meeting ask + IST offered. Website link only, no deck.</t>
  </si>
  <si>
    <t xml:space="preserve">STORM CS32, NOVA II, and an AI film festival in India</t>
  </si>
  <si>
    <t xml:space="preserve">6 Sep quality batch (v3, individually written). Hook source: Aputure STORM CS32 shown at NAB 2026 and NOVA II, the first Aputure panel light using the BLAIR-CG engine (Newsshooter, No Film School). 196 words. Meeting ask + IST offered. Website link only, no deck.</t>
  </si>
  <si>
    <t xml:space="preserve">Media Ecosystem, and WAiFF's India edition in Mumbai</t>
  </si>
  <si>
    <t xml:space="preserve">6 Sep quality batch (v3, individually written). Hook source: Tata Communications launched its Media Ecosystem to drive broadcast innovation, alongside Media Cloud Infrastructure Services (tatacommunications.com press release). 195 words. Meeting ask + IST offered. Website link only, no deck.</t>
  </si>
  <si>
    <t xml:space="preserve">Higgsfield's Series B and WAiFF India, December</t>
  </si>
  <si>
    <t xml:space="preserve">6 Sep quality batch (v3, individually written). Hook source: Higgsfield raised $400M Series B at a $5.4B valuation with ~$700M annualized revenue, Aug 2026 (PR Newswire, SiliconANGLE). 206 words. Meeting ask + IST offered. Website link only, no deck.</t>
  </si>
  <si>
    <t xml:space="preserve">Tilta at Cine Gear, and a film festival coming to India</t>
  </si>
  <si>
    <t xml:space="preserve">6 Sep quality batch (v3, individually written). Hook source: Tilta showed the Illusion magnetic filter system at Cine Gear 2026 and the Khronos PL lens line at NAB 2026 (Newsshooter, PetaPixel). 199 words. Meeting ask + IST offered. Website link only, no deck.</t>
  </si>
  <si>
    <t xml:space="preserve">WAiFF India, December 2026, and Sofitel BKC</t>
  </si>
  <si>
    <t xml:space="preserve">6 Sep quality batch (v3, individually written). Hook source: Sofitel Mumbai BKC operates a significant meetings and events business in Mumbai's BKC business district (sofitel.accor.com meetings page). 193 words. Meeting ask + IST offered. Website link only, no deck.</t>
  </si>
  <si>
    <t xml:space="preserve">The RCB Edition, and a film festival coming to Mumbai</t>
  </si>
  <si>
    <t xml:space="preserve">6 Sep quality batch (v3, individually written). Hook source: Phone (4b) RCB Edition launched in partnership with Royal Challengers Bengaluru, July 2026. Meeting ask + IST offered. Website link only, no deck.</t>
  </si>
  <si>
    <t xml:space="preserve">Trident BKC and WAiFF India, December 2026</t>
  </si>
  <si>
    <t xml:space="preserve">6 Sep quality batch (v3, individually written). Hook source: Trident Bandra Kurla operates a significant events and banquets business in Mumbai BKC. Meeting ask + IST offered. Website link only, no deck.</t>
  </si>
  <si>
    <t xml:space="preserve">Tanishq and an international film festival landing in Mumbai</t>
  </si>
  <si>
    <t xml:space="preserve">6 Sep quality batch (v3, brand-visibility angle per Aditya 6 Sep). Hook: Tanishq eyeing a bigger share of the jewellery market and building manufacturing beyond India (Titan Company newsroom). Meeting ask + IST. Website link only, no deck. | NOTE: this is Titan's OFFICIALLY PUBLISHED press contact on titancompany.in, but it is an AdFactors PR agency address, not an @titan domain. Published by the company so it is a legitimate TO, but expect an agency routing step.</t>
  </si>
  <si>
    <t xml:space="preserve">Air India's 2026 and an international film festival in Mumbai</t>
  </si>
  <si>
    <t xml:space="preserve">6 Sep quality batch (v3, brand-visibility angle per Aditya 6 Sep). Hook: CEO signalled 2026 as a year of transformation, fleet upgrades, new global lounges, international route expansion to Canada/UK/Australia. Meeting ask + IST. Website link only, no deck.</t>
  </si>
  <si>
    <t xml:space="preserve">Oberoi Realty and WAiFF's India edition, Mumbai, December</t>
  </si>
  <si>
    <t xml:space="preserve">6 Sep quality batch (v3, brand-visibility angle per Aditya 6 Sep). Hook: FY27 project pipeline announced across Mumbai, Thane and Alibaug on top of the existing rental portfolio. Meeting ask + IST. Website link only, no deck.</t>
  </si>
  <si>
    <t xml:space="preserve">Godawan, Spirits by the Shore, and a film festival in Mumbai</t>
  </si>
  <si>
    <t xml:space="preserve">6 Sep quality batch (v3, brand-visibility angle per Aditya 6 Sep). Hook: Godawan artisanal single malt crossed 125 global awards; Spirits by the Shore 2026 returned to Goa built around it. Meeting ask + IST. Website link only, no deck. | Generic company inbox used under the volume-day relaxed bar. Ask routes to a brand/partnerships owner.</t>
  </si>
  <si>
    <t xml:space="preserve">Ultraviolette and an international film festival in Mumbai</t>
  </si>
  <si>
    <t xml:space="preserve">6 Sep quality batch (v3, brand-visibility angle per Aditya 6 Sep). Hook: Ultraviolette Tesseract and its position as a design-led Indian electric vehicle brand. Meeting ask + IST. Website link only, no deck. | Generic published inbox under the volume-day relaxed bar. Requested by Aditya by name.</t>
  </si>
  <si>
    <t xml:space="preserve">Partnership Enquiry form submission</t>
  </si>
  <si>
    <t xml:space="preserve">Form SUBMITTED 6 Sep 2026, confirmed by Aditya. Blackmagic Partnership Enquiry form (verified typed for partnerships). Page states it routes to developer support, so expect a routing reply rather than a direct partnerships reply.</t>
  </si>
  <si>
    <t xml:space="preserve">Sovereign AI, India, and a film festival in Mumbai</t>
  </si>
  <si>
    <t xml:space="preserve">Jaypore, Tangaliya, and a film festival coming to Mumbai</t>
  </si>
  <si>
    <t xml:space="preserve">6 Sep batch (individually written, brand-visibility/niche-breadth angle). Hook: Jaypore showcased Tangaliya craft heritage at Bharat Tex 2026 (ABFRL press releases, 16 Jul 2026). Meeting ask + IST. Website link only, no deck.</t>
  </si>
  <si>
    <t xml:space="preserve">WeMe, and an international film festival in Mumbai</t>
  </si>
  <si>
    <t xml:space="preserve">6 Sep batch (individually written, brand-visibility/niche-breadth angle). Hook: Emami Agrotech unveiled snacking brand WeMe on a ~Rs 750 crore investment, targeting Rs 1,000 crore revenue. Meeting ask + IST. Website link only, no deck.</t>
  </si>
  <si>
    <t xml:space="preserve">Airtel and an international film festival landing in Mumbai</t>
  </si>
  <si>
    <t xml:space="preserve">6 Sep batch (individually written, brand-visibility/niche-breadth angle). Hook: Airtel Business and ITI Limited strategic partnership on enterprise connectivity, data centres and sovereign cloud (Aug 2026). Meeting ask + IST. Website link only, no deck.</t>
  </si>
  <si>
    <t xml:space="preserve">ATLAS, open-source AI, and a film festival in Mumbai</t>
  </si>
  <si>
    <t xml:space="preserve">6 Sep batch (individually written, brand-visibility/niche-breadth angle). Hook: ATLAS adaptive speculator delivering a 400% inference speedup, alongside momentum in open-source AI adoption (together.ai press). Meeting ask + IST. Website link only, no deck.</t>
  </si>
  <si>
    <t xml:space="preserve">WAIFF India — Sponsor Follow-ups</t>
  </si>
  <si>
    <t xml:space="preserve">Sponsor track only. One row per company: contact, reply status, and the Day 4 / 11 / 25 follow-up cadence (brief section 10). Row 4 is an example — real rows start at row 5.</t>
  </si>
  <si>
    <t xml:space="preserve">#</t>
  </si>
  <si>
    <t xml:space="preserve">Contact Name</t>
  </si>
  <si>
    <t xml:space="preserve">Contact Title</t>
  </si>
  <si>
    <t xml:space="preserve">Date First Contacted</t>
  </si>
  <si>
    <t xml:space="preserve">Reply Received? (Y/N)</t>
  </si>
  <si>
    <t xml:space="preserve">Reply Date</t>
  </si>
  <si>
    <t xml:space="preserve">What They Said</t>
  </si>
  <si>
    <t xml:space="preserve">Day 4 Follow-up (Y/N)</t>
  </si>
  <si>
    <t xml:space="preserve">Day 11 Follow-up (Y/N)</t>
  </si>
  <si>
    <t xml:space="preserve">Day 25 Follow-up (Y/N)</t>
  </si>
  <si>
    <t xml:space="preserve">Example Co</t>
  </si>
  <si>
    <t xml:space="preserve">Call held 3 Sep. Anuj is interested in the India edition but needs more lucrative/concrete details before he can move it forward internally — guest/talent finalization and similar specifics. He said he will push it to his internal team and MDs. Per Aditya: hold the reply until India-edition details are firmer; keep him warm, do not send a substantive reply yet.</t>
  </si>
  <si>
    <t xml:space="preserve">Warm - awaiting more India-edition detail from Aditya before next reply</t>
  </si>
  <si>
    <t xml:space="preserve">Suggested speaking after the 9th; looping in colleague Sameena Ali to help set something up.</t>
  </si>
  <si>
    <t xml:space="preserve">Awaiting scheduling after 9th</t>
  </si>
  <si>
    <t xml:space="preserve">Sales team gave generic product info; partner-operations team pointed to zoho.com/partners as the standard partner program, not a direct sponsorship conversation.</t>
  </si>
  <si>
    <t xml:space="preserve">Low priority - generic partner program, not a real lead</t>
  </si>
  <si>
    <t xml:space="preserve">Asked for 2025 highlights and public data points before internal review. Replied with verified figures (6,000+ applications/100+ countries 2026, leadership names, global footprint, press coverage), all cross-checked against worldaifilmfestival.com and independent press.</t>
  </si>
  <si>
    <t xml:space="preserve">Awaiting internal review, ~2 weeks</t>
  </si>
  <si>
    <t xml:space="preserve">Found via 6 Sep Gmail audit (not originally logged this session). Major AI compute/GPU vendor</t>
  </si>
  <si>
    <t xml:space="preserve">Genuine "Partner with us" form (studios/directors/filmmakers/agencies/advertisers/brands). Filled Name, Email, Organization, and message covering WAiFF scale + Moonvalley's licensed-data Marey model + CAA/Comcast Ventures funding. Confirmed "Thank you! You have successfully submitted." 3 Sep 2026.</t>
  </si>
  <si>
    <t xml:space="preserve">Relevance: Major Marriott property near the airport, active events business</t>
  </si>
  <si>
    <t xml:space="preserve">AssemblyAI's support explicitly declined: "doesn't evaluate festival, sponsorship, or partnership proposals through this channel." Pushed twice (asked to route to founders/executives) and got a firm final no both times: "We don't have a partnership or sponsorship program that evaluates festival collaborations, so there isn't another team to route this to."</t>
  </si>
  <si>
    <t xml:space="preserve">Closed - firm decline, do not re-pursue via this channel</t>
  </si>
  <si>
    <t xml:space="preserve">Relevance: Speech recognition/AI infra relevant to AI film production pipelines</t>
  </si>
  <si>
    <t xml:space="preserve">"Thanks for showing interest. We have forwarded your request to the concerned team. They will get in touch with you post reviewing the requirements."</t>
  </si>
  <si>
    <t xml:space="preserve">Wait and see - forwarded internally</t>
  </si>
  <si>
    <t xml:space="preserve">WAIFF India — Organizer Follow-ups</t>
  </si>
  <si>
    <t xml:space="preserve">Organizer track only. One row per company: contact, reply status, and the Day 4 / 11 / 25 follow-up cadence (brief section 10). Row 4 is an example — real rows start at row 5.</t>
  </si>
  <si>
    <t xml:space="preserve">Confirmed: "Thank you. Your enquiry has been sent to the IIFA team."</t>
  </si>
  <si>
    <t xml:space="preserve">Support inbox auto-replied 3x (once per duplicate send) asking for brand-partnership/collaboration enquiries to go directly to sayantan.guha@hoichoi.tv instead of support@hoichoi.tv.</t>
  </si>
  <si>
    <t xml:space="preserve">ACTION NEEDED: send ONE fresh, personalized email to sayantan.guha@hoichoi.tv (do not resend to support@hoichoi.tv)</t>
  </si>
  <si>
    <t xml:space="preserve">WAIFF India — Replies Tracker</t>
  </si>
  <si>
    <t xml:space="preserve">Only real, relevant replies go here (not auto-acknowledgements). One row per reply. Track: name of person, company, track, what they said, and what's needed next.</t>
  </si>
  <si>
    <t xml:space="preserve">Date</t>
  </si>
  <si>
    <t xml:space="preserve">Person Name</t>
  </si>
  <si>
    <t xml:space="preserve">Track (Sponsor/Organizer/Existing)</t>
  </si>
  <si>
    <t xml:space="preserve">Reply Type</t>
  </si>
  <si>
    <t xml:space="preserve">What they said</t>
  </si>
  <si>
    <t xml:space="preserve">Follow-up needed</t>
  </si>
  <si>
    <t xml:space="preserve">Follow-up sent date</t>
  </si>
  <si>
    <t xml:space="preserve">Anuj Kumar</t>
  </si>
  <si>
    <t xml:space="preserve">Existing (live client)</t>
  </si>
  <si>
    <t xml:space="preserve">Real reply - call held</t>
  </si>
  <si>
    <t xml:space="preserve">N (holding per Aditya)</t>
  </si>
  <si>
    <t xml:space="preserve">Nandini Bhatnagar (Sr. Director Marketing)</t>
  </si>
  <si>
    <t xml:space="preserve">Real reply</t>
  </si>
  <si>
    <t xml:space="preserve">Shristi Mahnot (India Enterprise PR Manager)</t>
  </si>
  <si>
    <t xml:space="preserve">Real reply - decline then referral</t>
  </si>
  <si>
    <t xml:space="preserve">Declined sponsorship directly (PR does not handle it), then looped in colleague Kavita Aroor for ecosystem/developer-relations angle.</t>
  </si>
  <si>
    <t xml:space="preserve">Awaiting Kavita's reply</t>
  </si>
  <si>
    <t xml:space="preserve">Partner Operations team</t>
  </si>
  <si>
    <t xml:space="preserve">Auto-routed to partner program</t>
  </si>
  <si>
    <t xml:space="preserve">Vidu (Shengshu Technology)</t>
  </si>
  <si>
    <t xml:space="preserve">support team</t>
  </si>
  <si>
    <t xml:space="preserve">Automated acknowledgement</t>
  </si>
  <si>
    <t xml:space="preserve">Generic thank-you, said team will follow up if there's a collaboration opportunity.</t>
  </si>
  <si>
    <t xml:space="preserve">Wait and see</t>
  </si>
  <si>
    <t xml:space="preserve">Nikon (RED Digital Cinema)</t>
  </si>
  <si>
    <t xml:space="preserve">NIND Support</t>
  </si>
  <si>
    <t xml:space="preserve">Said details shared with the respective team for review.</t>
  </si>
  <si>
    <t xml:space="preserve">Kavita Aroor (Head Enterprise &amp; Developer Marketing, South Asia)</t>
  </si>
  <si>
    <t xml:space="preserve">Real reply - data request</t>
  </si>
  <si>
    <t xml:space="preserve">Leela (hotel group)</t>
  </si>
  <si>
    <t xml:space="preserve">Aparna Singh (Sales Manager - Catering)</t>
  </si>
  <si>
    <t xml:space="preserve">Real reply - venue quote received</t>
  </si>
  <si>
    <t xml:space="preserve">Note: this is venue/catering RFQ, not sponsorship — Aditya requested a quote to host the WAIFF India event AT The Leela Mumbai. Sent a full waitlisted proposal for 15 Dec 2026, 800 guests: Grand Ballroom (11,742 sq ft), buffet lunch INR 3,300+18% GST/person, buffet dinner INR 3,600+18% GST/person, minimum revenue INR 55,20,000+taxes/day. Includes banquet floor plan, AV list, beverage list, ballroom layout deck as attachments. Space is on WAITLIST basis, and the quote is explicitly valid only 48 hours from send (received 2026-09-04 ~11:01 IST).</t>
  </si>
  <si>
    <t xml:space="preserve">Y - time-sensitive, Aditya to decide</t>
  </si>
  <si>
    <t xml:space="preserve">ACTION NEEDED: quote expires ~2026-09-06 11:00 IST. Aditya to review pricing/decide whether to hold the space, negotiate, or pass — this is a venue decision, not a sponsor pitch, so Claude is not acting on it without Aditya.</t>
  </si>
  <si>
    <t xml:space="preserve">Joey (AI support agent)</t>
  </si>
  <si>
    <t xml:space="preserve">Real reply - firm decline</t>
  </si>
  <si>
    <t xml:space="preserve">Team boAt (support)</t>
  </si>
  <si>
    <t xml:space="preserve">Real reply - acknowledgement</t>
  </si>
  <si>
    <t xml:space="preserve">support team (auto)</t>
  </si>
  <si>
    <t xml:space="preserve">Wrong channel - redirect given</t>
  </si>
  <si>
    <t xml:space="preserve">Y - done</t>
  </si>
  <si>
    <t xml:space="preserve">Resolved - Aditya sent the follow-up to sayantan.guha@hoichoi.tv directly.</t>
  </si>
  <si>
    <t xml:space="preserve">WAIFF India — Daily Outreach Log</t>
  </si>
  <si>
    <t xml:space="preserve">Date-wise breakdown, pulled live from the Gmail Tracker tab (COUNTIFS formulas — recalculates automatically as new rows are added). Fill in the "Notes / milestones" column by hand.</t>
  </si>
  <si>
    <t xml:space="preserve">Companies contacted</t>
  </si>
  <si>
    <t xml:space="preserve">Emails sent (clean)</t>
  </si>
  <si>
    <t xml:space="preserve">Forms submitted</t>
  </si>
  <si>
    <t xml:space="preserve">Replies received (as of today)</t>
  </si>
  <si>
    <t xml:space="preserve">Meetings booked (as of today)</t>
  </si>
  <si>
    <t xml:space="preserve">Notes / milestones</t>
  </si>
  <si>
    <t xml:space="preserve">Campaign start.</t>
  </si>
  <si>
    <t xml:space="preserve">Ramp continues — AI/media sponsor batch.</t>
  </si>
  <si>
    <t xml:space="preserve">Largest single-day batch — full sponsor + organizer sweep across VFX, hardware, cloud, and production-house targets.</t>
  </si>
  <si>
    <t xml:space="preserve">Government/institutional track added (NFDC, Maharashtra Film Corp) + new copywriting standards drafted (brief section 16) + IIFA form landed.</t>
  </si>
  <si>
    <t xml:space="preserve">TOTAL</t>
  </si>
</sst>
</file>

<file path=xl/styles.xml><?xml version="1.0" encoding="utf-8"?>
<styleSheet xmlns="http://schemas.openxmlformats.org/spreadsheetml/2006/main">
  <numFmts count="4">
    <numFmt numFmtId="164" formatCode="General"/>
    <numFmt numFmtId="165" formatCode="yyyy\-mm\-dd"/>
    <numFmt numFmtId="166" formatCode="0.0%"/>
    <numFmt numFmtId="167" formatCode="General"/>
  </numFmts>
  <fonts count="14">
    <font>
      <sz val="11"/>
      <color theme="1"/>
      <name val="Calibri"/>
      <family val="2"/>
      <charset val="1"/>
    </font>
    <font>
      <sz val="10"/>
      <name val="Arial"/>
      <family val="0"/>
    </font>
    <font>
      <sz val="10"/>
      <name val="Arial"/>
      <family val="0"/>
    </font>
    <font>
      <sz val="10"/>
      <name val="Arial"/>
      <family val="0"/>
    </font>
    <font>
      <b val="true"/>
      <sz val="14"/>
      <color rgb="FF1F2A44"/>
      <name val="Arial"/>
      <family val="0"/>
      <charset val="1"/>
    </font>
    <font>
      <i val="true"/>
      <sz val="9"/>
      <color rgb="FF555555"/>
      <name val="Arial"/>
      <family val="0"/>
      <charset val="1"/>
    </font>
    <font>
      <b val="true"/>
      <sz val="10"/>
      <name val="Arial"/>
      <family val="0"/>
      <charset val="1"/>
    </font>
    <font>
      <sz val="10"/>
      <name val="Arial"/>
      <family val="0"/>
      <charset val="1"/>
    </font>
    <font>
      <sz val="10"/>
      <color rgb="FF0000FF"/>
      <name val="Arial"/>
      <family val="0"/>
      <charset val="1"/>
    </font>
    <font>
      <i val="true"/>
      <sz val="9"/>
      <color rgb="FF8A4B00"/>
      <name val="Arial"/>
      <family val="0"/>
      <charset val="1"/>
    </font>
    <font>
      <b val="true"/>
      <sz val="10"/>
      <color rgb="FFFFFFFF"/>
      <name val="Arial"/>
      <family val="0"/>
      <charset val="1"/>
    </font>
    <font>
      <i val="true"/>
      <sz val="10"/>
      <name val="Arial"/>
      <family val="0"/>
      <charset val="1"/>
    </font>
    <font>
      <b val="true"/>
      <sz val="12"/>
      <name val="Arial"/>
      <family val="0"/>
      <charset val="1"/>
    </font>
    <font>
      <b val="true"/>
      <sz val="12"/>
      <color rgb="FF1F2A44"/>
      <name val="Arial"/>
      <family val="0"/>
      <charset val="1"/>
    </font>
  </fonts>
  <fills count="6">
    <fill>
      <patternFill patternType="none"/>
    </fill>
    <fill>
      <patternFill patternType="gray125"/>
    </fill>
    <fill>
      <patternFill patternType="solid">
        <fgColor rgb="FFDCE6FF"/>
        <bgColor rgb="FFCCFFFF"/>
      </patternFill>
    </fill>
    <fill>
      <patternFill patternType="solid">
        <fgColor rgb="FFFFF2CC"/>
        <bgColor rgb="FFFFF2AE"/>
      </patternFill>
    </fill>
    <fill>
      <patternFill patternType="solid">
        <fgColor rgb="FF1F2A44"/>
        <bgColor rgb="FF003366"/>
      </patternFill>
    </fill>
    <fill>
      <patternFill patternType="solid">
        <fgColor rgb="FFFFF2AE"/>
        <bgColor rgb="FFFFF2CC"/>
      </patternFill>
    </fill>
  </fills>
  <borders count="2">
    <border diagonalUp="false" diagonalDown="false">
      <left/>
      <right/>
      <top/>
      <bottom/>
      <diagonal/>
    </border>
    <border diagonalUp="false" diagonalDown="false">
      <left style="thin">
        <color rgb="FFCCCCCC"/>
      </left>
      <right style="thin">
        <color rgb="FFCCCCCC"/>
      </right>
      <top style="thin">
        <color rgb="FFCCCCCC"/>
      </top>
      <bottom style="thin">
        <color rgb="FFCCCCCC"/>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26">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false">
      <alignment horizontal="general" vertical="bottom" textRotation="0" wrapText="false" indent="0" shrinkToFit="false"/>
      <protection locked="true" hidden="false"/>
    </xf>
    <xf numFmtId="164" fontId="4" fillId="0" borderId="0" xfId="0" applyFont="true" applyBorder="true" applyAlignment="true" applyProtection="false">
      <alignment horizontal="general" vertical="bottom" textRotation="0" wrapText="false" indent="0" shrinkToFit="false"/>
      <protection locked="true" hidden="false"/>
    </xf>
    <xf numFmtId="164" fontId="5" fillId="0" borderId="0" xfId="0" applyFont="true" applyBorder="true" applyAlignment="true" applyProtection="false">
      <alignment horizontal="general" vertical="bottom" textRotation="0" wrapText="false" indent="0" shrinkToFit="false"/>
      <protection locked="true" hidden="false"/>
    </xf>
    <xf numFmtId="164" fontId="6" fillId="0" borderId="0" xfId="0" applyFont="true" applyBorder="true" applyAlignment="true" applyProtection="false">
      <alignment horizontal="general" vertical="bottom" textRotation="0" wrapText="false" indent="0" shrinkToFit="false"/>
      <protection locked="true" hidden="false"/>
    </xf>
    <xf numFmtId="164" fontId="7" fillId="0" borderId="0" xfId="0" applyFont="true" applyBorder="false" applyAlignment="true" applyProtection="false">
      <alignment horizontal="general" vertical="bottom" textRotation="0" wrapText="false" indent="0" shrinkToFit="false"/>
      <protection locked="true" hidden="false"/>
    </xf>
    <xf numFmtId="165" fontId="8" fillId="2" borderId="0" xfId="0" applyFont="true" applyBorder="false" applyAlignment="true" applyProtection="false">
      <alignment horizontal="general" vertical="bottom" textRotation="0" wrapText="false" indent="0" shrinkToFit="false"/>
      <protection locked="true" hidden="false"/>
    </xf>
    <xf numFmtId="164" fontId="9" fillId="3" borderId="0" xfId="0" applyFont="true" applyBorder="true" applyAlignment="true" applyProtection="false">
      <alignment horizontal="general" vertical="top" textRotation="0" wrapText="true" indent="0" shrinkToFit="false"/>
      <protection locked="true" hidden="false"/>
    </xf>
    <xf numFmtId="164" fontId="6" fillId="0" borderId="0" xfId="0" applyFont="true" applyBorder="false" applyAlignment="true" applyProtection="false">
      <alignment horizontal="general" vertical="bottom" textRotation="0" wrapText="false" indent="0" shrinkToFit="false"/>
      <protection locked="true" hidden="false"/>
    </xf>
    <xf numFmtId="164" fontId="10" fillId="4" borderId="0" xfId="0" applyFont="true" applyBorder="false" applyAlignment="true" applyProtection="false">
      <alignment horizontal="general" vertical="bottom" textRotation="0" wrapText="false" indent="0" shrinkToFit="false"/>
      <protection locked="true" hidden="false"/>
    </xf>
    <xf numFmtId="166" fontId="7" fillId="0" borderId="0" xfId="0" applyFont="true" applyBorder="false" applyAlignment="true" applyProtection="false">
      <alignment horizontal="general" vertical="bottom" textRotation="0" wrapText="false" indent="0" shrinkToFit="false"/>
      <protection locked="true" hidden="false"/>
    </xf>
    <xf numFmtId="166" fontId="0" fillId="0" borderId="0" xfId="0" applyFont="false" applyBorder="false" applyAlignment="true" applyProtection="false">
      <alignment horizontal="general" vertical="bottom" textRotation="0" wrapText="false" indent="0" shrinkToFit="false"/>
      <protection locked="true" hidden="false"/>
    </xf>
    <xf numFmtId="164" fontId="0" fillId="2" borderId="0" xfId="0" applyFont="false" applyBorder="true" applyAlignment="true" applyProtection="false">
      <alignment horizontal="general" vertical="bottom" textRotation="0" wrapText="false" indent="0" shrinkToFit="false"/>
      <protection locked="true" hidden="false"/>
    </xf>
    <xf numFmtId="164" fontId="10" fillId="4" borderId="1" xfId="0" applyFont="true" applyBorder="true" applyAlignment="true" applyProtection="false">
      <alignment horizontal="center" vertical="center" textRotation="0" wrapText="true" indent="0" shrinkToFit="false"/>
      <protection locked="true" hidden="false"/>
    </xf>
    <xf numFmtId="164" fontId="11" fillId="5" borderId="1" xfId="0" applyFont="true" applyBorder="true" applyAlignment="true" applyProtection="false">
      <alignment horizontal="general" vertical="bottom" textRotation="0" wrapText="false" indent="0" shrinkToFit="false"/>
      <protection locked="true" hidden="false"/>
    </xf>
    <xf numFmtId="164" fontId="7" fillId="0" borderId="1" xfId="0" applyFont="true" applyBorder="true" applyAlignment="true" applyProtection="false">
      <alignment horizontal="general" vertical="bottom" textRotation="0" wrapText="false" indent="0" shrinkToFit="false"/>
      <protection locked="true" hidden="false"/>
    </xf>
    <xf numFmtId="164" fontId="7" fillId="0" borderId="1" xfId="0" applyFont="true" applyBorder="true" applyAlignment="true" applyProtection="false">
      <alignment horizontal="general" vertical="top" textRotation="0" wrapText="true" indent="0" shrinkToFit="false"/>
      <protection locked="true" hidden="false"/>
    </xf>
    <xf numFmtId="164" fontId="0" fillId="0" borderId="0" xfId="0" applyFont="true" applyBorder="false" applyAlignment="true" applyProtection="false">
      <alignment horizontal="general" vertical="bottom" textRotation="0" wrapText="false" indent="0" shrinkToFit="false"/>
      <protection locked="true" hidden="false"/>
    </xf>
    <xf numFmtId="164" fontId="7" fillId="5" borderId="1" xfId="0" applyFont="true" applyBorder="true" applyAlignment="true" applyProtection="false">
      <alignment horizontal="general" vertical="top" textRotation="0" wrapText="true" indent="0" shrinkToFit="false"/>
      <protection locked="true" hidden="false"/>
    </xf>
    <xf numFmtId="164" fontId="12" fillId="0" borderId="0" xfId="0" applyFont="true" applyBorder="true" applyAlignment="true" applyProtection="false">
      <alignment horizontal="general" vertical="bottom" textRotation="0" wrapText="false" indent="0" shrinkToFit="false"/>
      <protection locked="true" hidden="false"/>
    </xf>
    <xf numFmtId="164" fontId="10" fillId="4" borderId="1" xfId="0" applyFont="true" applyBorder="true" applyAlignment="true" applyProtection="false">
      <alignment horizontal="general" vertical="center" textRotation="0" wrapText="true" indent="0" shrinkToFit="false"/>
      <protection locked="true" hidden="false"/>
    </xf>
    <xf numFmtId="164" fontId="13" fillId="0" borderId="0" xfId="0" applyFont="true" applyBorder="false" applyAlignment="true" applyProtection="false">
      <alignment horizontal="general" vertical="bottom" textRotation="0" wrapText="false" indent="0" shrinkToFit="false"/>
      <protection locked="true" hidden="false"/>
    </xf>
    <xf numFmtId="164" fontId="5" fillId="0" borderId="0" xfId="0" applyFont="true" applyBorder="false" applyAlignment="true" applyProtection="false">
      <alignment horizontal="general" vertical="bottom" textRotation="0" wrapText="false" indent="0" shrinkToFit="false"/>
      <protection locked="true" hidden="false"/>
    </xf>
    <xf numFmtId="164" fontId="6" fillId="0" borderId="1" xfId="0" applyFont="true" applyBorder="true" applyAlignment="true" applyProtection="false">
      <alignment horizontal="general" vertical="bottom" textRotation="0" wrapText="false" indent="0" shrinkToFit="false"/>
      <protection locked="true" hidden="false"/>
    </xf>
    <xf numFmtId="167" fontId="6" fillId="0" borderId="1" xfId="0" applyFont="true" applyBorder="true" applyAlignment="true" applyProtection="false">
      <alignment horizontal="general" vertical="top" textRotation="0" wrapText="true" indent="0" shrinkToFit="false"/>
      <protection locked="true" hidden="false"/>
    </xf>
    <xf numFmtId="164" fontId="0" fillId="0" borderId="1" xfId="0" applyFont="false" applyBorder="true" applyAlignment="tru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CCCCC"/>
      <rgbColor rgb="FF808080"/>
      <rgbColor rgb="FF9999FF"/>
      <rgbColor rgb="FF993366"/>
      <rgbColor rgb="FFFFF2CC"/>
      <rgbColor rgb="FFDCE6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2AE"/>
      <rgbColor rgb="FF99CCFF"/>
      <rgbColor rgb="FFFF99CC"/>
      <rgbColor rgb="FFCC99FF"/>
      <rgbColor rgb="FFFFCC99"/>
      <rgbColor rgb="FF3366FF"/>
      <rgbColor rgb="FF33CCCC"/>
      <rgbColor rgb="FF99CC00"/>
      <rgbColor rgb="FFFFCC00"/>
      <rgbColor rgb="FFFF9900"/>
      <rgbColor rgb="FFFF6600"/>
      <rgbColor rgb="FF555555"/>
      <rgbColor rgb="FF969696"/>
      <rgbColor rgb="FF003366"/>
      <rgbColor rgb="FF339966"/>
      <rgbColor rgb="FF003300"/>
      <rgbColor rgb="FF333300"/>
      <rgbColor rgb="FF8A4B00"/>
      <rgbColor rgb="FF993366"/>
      <rgbColor rgb="FF333399"/>
      <rgbColor rgb="FF1F2A44"/>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49"/>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1" width="34"/>
    <col collapsed="false" customWidth="true" hidden="false" outlineLevel="0" max="2" min="2" style="1" width="16"/>
    <col collapsed="false" customWidth="true" hidden="false" outlineLevel="0" max="6" min="3" style="1" width="12"/>
  </cols>
  <sheetData>
    <row r="1" customFormat="false" ht="19.5" hidden="false" customHeight="true" outlineLevel="0" collapsed="false">
      <c r="A1" s="2" t="s">
        <v>0</v>
      </c>
      <c r="B1" s="2"/>
      <c r="C1" s="2"/>
      <c r="D1" s="2"/>
      <c r="E1" s="2"/>
      <c r="F1" s="2"/>
    </row>
    <row r="2" customFormat="false" ht="13.5" hidden="false" customHeight="true" outlineLevel="0" collapsed="false">
      <c r="A2" s="3" t="s">
        <v>1</v>
      </c>
      <c r="B2" s="3"/>
      <c r="C2" s="3"/>
      <c r="D2" s="3"/>
      <c r="E2" s="3"/>
      <c r="F2" s="3"/>
    </row>
    <row r="4" customFormat="false" ht="15" hidden="false" customHeight="true" outlineLevel="0" collapsed="false">
      <c r="A4" s="4" t="s">
        <v>2</v>
      </c>
      <c r="B4" s="4"/>
    </row>
    <row r="5" customFormat="false" ht="15" hidden="false" customHeight="true" outlineLevel="0" collapsed="false">
      <c r="A5" s="5" t="s">
        <v>3</v>
      </c>
      <c r="B5" s="6" t="n">
        <v>46265</v>
      </c>
    </row>
    <row r="6" customFormat="false" ht="15" hidden="false" customHeight="true" outlineLevel="0" collapsed="false">
      <c r="A6" s="5" t="s">
        <v>4</v>
      </c>
      <c r="B6" s="1" t="n">
        <f aca="true">IF($B$5="","",TODAY()-$B$5+1)</f>
        <v>7</v>
      </c>
    </row>
    <row r="7" customFormat="false" ht="15" hidden="false" customHeight="true" outlineLevel="0" collapsed="false">
      <c r="A7" s="5" t="s">
        <v>5</v>
      </c>
      <c r="B7" s="1" t="n">
        <f aca="true">IF($B$5="","",IF((TODAY()-$B$5+1)&lt;=3,25,IF((TODAY()-$B$5+1)&lt;=7,60,IF((TODAY()-$B$5+1)&lt;=14,75,100))))</f>
        <v>60</v>
      </c>
    </row>
    <row r="8" customFormat="false" ht="42" hidden="false" customHeight="true" outlineLevel="0" collapsed="false">
      <c r="A8" s="7" t="s">
        <v>6</v>
      </c>
      <c r="B8" s="7"/>
      <c r="C8" s="7"/>
      <c r="D8" s="7"/>
      <c r="E8" s="7"/>
      <c r="F8" s="7"/>
    </row>
    <row r="9" customFormat="false" ht="15" hidden="false" customHeight="true" outlineLevel="0" collapsed="false">
      <c r="A9" s="8" t="s">
        <v>7</v>
      </c>
    </row>
    <row r="10" customFormat="false" ht="15" hidden="false" customHeight="true" outlineLevel="0" collapsed="false">
      <c r="A10" s="9" t="s">
        <v>8</v>
      </c>
      <c r="B10" s="9" t="s">
        <v>9</v>
      </c>
    </row>
    <row r="11" customFormat="false" ht="15" hidden="false" customHeight="true" outlineLevel="0" collapsed="false">
      <c r="A11" s="5" t="s">
        <v>10</v>
      </c>
      <c r="B11" s="5" t="n">
        <v>25</v>
      </c>
    </row>
    <row r="12" customFormat="false" ht="15" hidden="false" customHeight="true" outlineLevel="0" collapsed="false">
      <c r="A12" s="5" t="s">
        <v>11</v>
      </c>
      <c r="B12" s="5" t="n">
        <v>60</v>
      </c>
    </row>
    <row r="13" customFormat="false" ht="15" hidden="false" customHeight="true" outlineLevel="0" collapsed="false">
      <c r="A13" s="5" t="s">
        <v>12</v>
      </c>
      <c r="B13" s="5" t="n">
        <v>75</v>
      </c>
    </row>
    <row r="14" customFormat="false" ht="15" hidden="false" customHeight="true" outlineLevel="0" collapsed="false">
      <c r="A14" s="5" t="s">
        <v>13</v>
      </c>
      <c r="B14" s="5" t="n">
        <v>100</v>
      </c>
    </row>
    <row r="16" customFormat="false" ht="15" hidden="false" customHeight="true" outlineLevel="0" collapsed="false">
      <c r="A16" s="4" t="s">
        <v>14</v>
      </c>
      <c r="B16" s="4"/>
    </row>
    <row r="17" customFormat="false" ht="15" hidden="false" customHeight="true" outlineLevel="0" collapsed="false">
      <c r="A17" s="5" t="s">
        <v>15</v>
      </c>
      <c r="B17" s="5" t="n">
        <f aca="false">COUNTA(Targets!$A$5:$A$2000)</f>
        <v>175</v>
      </c>
    </row>
    <row r="18" customFormat="false" ht="15" hidden="false" customHeight="true" outlineLevel="0" collapsed="false">
      <c r="A18" s="5" t="s">
        <v>16</v>
      </c>
      <c r="B18" s="5" t="n">
        <f aca="false">COUNTIF(Targets!$O$5:$O$2000,"Excluded")</f>
        <v>0</v>
      </c>
    </row>
    <row r="19" customFormat="false" ht="15" hidden="false" customHeight="true" outlineLevel="0" collapsed="false">
      <c r="A19" s="5" t="s">
        <v>17</v>
      </c>
      <c r="B19" s="5" t="n">
        <f aca="false">COUNTIF(Targets!$O$5:$O$2000,"Not started")</f>
        <v>0</v>
      </c>
    </row>
    <row r="20" customFormat="false" ht="15" hidden="false" customHeight="true" outlineLevel="0" collapsed="false">
      <c r="A20" s="5" t="s">
        <v>18</v>
      </c>
      <c r="B20" s="5" t="n">
        <f aca="false">COUNTIF(Targets!$O$5:$O$2000,"Researching")</f>
        <v>0</v>
      </c>
    </row>
    <row r="21" customFormat="false" ht="15" hidden="false" customHeight="true" outlineLevel="0" collapsed="false">
      <c r="A21" s="5" t="s">
        <v>19</v>
      </c>
      <c r="B21" s="5" t="n">
        <f aca="false">COUNTIF(Targets!$O$5:$O$2000,"Ready to send")</f>
        <v>4</v>
      </c>
    </row>
    <row r="22" customFormat="false" ht="15" hidden="false" customHeight="true" outlineLevel="0" collapsed="false">
      <c r="A22" s="5" t="s">
        <v>20</v>
      </c>
      <c r="B22" s="5" t="n">
        <f aca="false">COUNTIF(Targets!$O$5:$O$2000,"Sent")</f>
        <v>154</v>
      </c>
    </row>
    <row r="23" customFormat="false" ht="15" hidden="false" customHeight="true" outlineLevel="0" collapsed="false">
      <c r="A23" s="5" t="s">
        <v>21</v>
      </c>
      <c r="B23" s="5" t="n">
        <f aca="false">COUNTIF(Targets!$O$5:$O$2000,"Replied")</f>
        <v>2</v>
      </c>
    </row>
    <row r="24" customFormat="false" ht="15" hidden="false" customHeight="true" outlineLevel="0" collapsed="false">
      <c r="A24" s="5" t="s">
        <v>22</v>
      </c>
      <c r="B24" s="5" t="n">
        <f aca="false">COUNTIF(Targets!$O$5:$O$2000,"Meeting booked")</f>
        <v>0</v>
      </c>
    </row>
    <row r="25" customFormat="false" ht="15" hidden="false" customHeight="true" outlineLevel="0" collapsed="false">
      <c r="A25" s="5" t="s">
        <v>23</v>
      </c>
      <c r="B25" s="5" t="n">
        <f aca="false">COUNTIF(Targets!$O$5:$O$2000,"Dormant")</f>
        <v>0</v>
      </c>
    </row>
    <row r="27" customFormat="false" ht="15" hidden="false" customHeight="true" outlineLevel="0" collapsed="false">
      <c r="A27" s="4" t="s">
        <v>24</v>
      </c>
      <c r="B27" s="4"/>
    </row>
    <row r="28" customFormat="false" ht="15" hidden="false" customHeight="true" outlineLevel="0" collapsed="false">
      <c r="A28" s="5" t="s">
        <v>25</v>
      </c>
      <c r="B28" s="5" t="n">
        <f aca="false">COUNTA('Gmail Tracker'!$A$5:$A$2000)</f>
        <v>175</v>
      </c>
    </row>
    <row r="29" customFormat="false" ht="15" hidden="false" customHeight="true" outlineLevel="0" collapsed="false">
      <c r="A29" s="5" t="s">
        <v>26</v>
      </c>
      <c r="B29" s="5" t="n">
        <f aca="false">COUNTIF('Gmail Tracker'!$G$5:$G$2000,"Y")</f>
        <v>9</v>
      </c>
    </row>
    <row r="30" customFormat="false" ht="15" hidden="false" customHeight="true" outlineLevel="0" collapsed="false">
      <c r="A30" s="5" t="s">
        <v>27</v>
      </c>
      <c r="B30" s="10" t="n">
        <f aca="false">IFERROR(B29/B28,"")</f>
        <v>0.0514285714285714</v>
      </c>
    </row>
    <row r="31" customFormat="false" ht="15" hidden="false" customHeight="true" outlineLevel="0" collapsed="false">
      <c r="A31" s="5" t="s">
        <v>28</v>
      </c>
      <c r="B31" s="5" t="n">
        <f aca="false">COUNTIF('Gmail Tracker'!$H$5:$H$2000,"Y")</f>
        <v>3</v>
      </c>
    </row>
    <row r="32" customFormat="false" ht="15" hidden="false" customHeight="true" outlineLevel="0" collapsed="false">
      <c r="A32" s="5" t="s">
        <v>29</v>
      </c>
      <c r="B32" s="10" t="n">
        <f aca="false">IFERROR(B31/B28,"")</f>
        <v>0.0171428571428571</v>
      </c>
    </row>
    <row r="33" customFormat="false" ht="15" hidden="false" customHeight="true" outlineLevel="0" collapsed="false">
      <c r="A33" s="5" t="s">
        <v>30</v>
      </c>
      <c r="B33" s="5" t="n">
        <f aca="false">COUNTIF('Gmail Tracker'!$M$5:$M$2000,"Y")</f>
        <v>0</v>
      </c>
    </row>
    <row r="35" customFormat="false" ht="15" hidden="false" customHeight="true" outlineLevel="0" collapsed="false">
      <c r="A35" s="4" t="s">
        <v>31</v>
      </c>
      <c r="B35" s="4"/>
    </row>
    <row r="36" customFormat="false" ht="15" hidden="false" customHeight="true" outlineLevel="0" collapsed="false">
      <c r="A36" s="5" t="s">
        <v>32</v>
      </c>
      <c r="B36" s="5" t="n">
        <f aca="false">COUNTA('LinkedIn Tracker'!$C$5:$C$2000)</f>
        <v>131</v>
      </c>
    </row>
    <row r="37" customFormat="false" ht="15" hidden="false" customHeight="true" outlineLevel="0" collapsed="false">
      <c r="A37" s="5" t="s">
        <v>33</v>
      </c>
      <c r="B37" s="5" t="n">
        <f aca="false">COUNTA('LinkedIn Tracker'!$H$5:$H$2000)</f>
        <v>0</v>
      </c>
    </row>
    <row r="38" customFormat="false" ht="15" hidden="false" customHeight="true" outlineLevel="0" collapsed="false">
      <c r="A38" s="5" t="s">
        <v>34</v>
      </c>
      <c r="B38" s="5" t="n">
        <f aca="false">COUNTIF('LinkedIn Tracker'!$I$5:$I$2000,"Accepted")</f>
        <v>0</v>
      </c>
    </row>
    <row r="39" customFormat="false" ht="15" hidden="false" customHeight="true" outlineLevel="0" collapsed="false">
      <c r="A39" s="5" t="s">
        <v>35</v>
      </c>
      <c r="B39" s="11" t="str">
        <f aca="false">IFERROR(B38/B37,"")</f>
        <v/>
      </c>
    </row>
    <row r="40" customFormat="false" ht="15" hidden="false" customHeight="true" outlineLevel="0" collapsed="false">
      <c r="A40" s="5" t="s">
        <v>36</v>
      </c>
      <c r="B40" s="5" t="n">
        <f aca="false">COUNTA('LinkedIn Tracker'!$J$5:$J$2000)</f>
        <v>0</v>
      </c>
    </row>
    <row r="41" customFormat="false" ht="15" hidden="false" customHeight="true" outlineLevel="0" collapsed="false">
      <c r="A41" s="5" t="s">
        <v>28</v>
      </c>
      <c r="B41" s="5" t="n">
        <f aca="false">COUNTIF('LinkedIn Tracker'!$K$5:$K$2000,"Y")</f>
        <v>0</v>
      </c>
    </row>
    <row r="43" customFormat="false" ht="15" hidden="false" customHeight="true" outlineLevel="0" collapsed="false">
      <c r="A43" s="4" t="s">
        <v>37</v>
      </c>
      <c r="B43" s="4"/>
      <c r="C43" s="4"/>
      <c r="D43" s="4"/>
      <c r="E43" s="4"/>
      <c r="F43" s="4"/>
    </row>
    <row r="44" customFormat="false" ht="15" hidden="false" customHeight="true" outlineLevel="0" collapsed="false">
      <c r="A44" s="5" t="s">
        <v>38</v>
      </c>
      <c r="B44" s="12"/>
      <c r="C44" s="12"/>
      <c r="D44" s="12"/>
      <c r="E44" s="12"/>
      <c r="F44" s="12"/>
    </row>
    <row r="45" customFormat="false" ht="15" hidden="false" customHeight="true" outlineLevel="0" collapsed="false">
      <c r="A45" s="5" t="s">
        <v>39</v>
      </c>
      <c r="B45" s="12"/>
      <c r="C45" s="12"/>
      <c r="D45" s="12"/>
      <c r="E45" s="12"/>
      <c r="F45" s="12"/>
    </row>
    <row r="46" customFormat="false" ht="15" hidden="false" customHeight="true" outlineLevel="0" collapsed="false">
      <c r="A46" s="5" t="s">
        <v>40</v>
      </c>
      <c r="B46" s="12"/>
      <c r="C46" s="12"/>
      <c r="D46" s="12"/>
      <c r="E46" s="12"/>
      <c r="F46" s="12"/>
    </row>
    <row r="47" customFormat="false" ht="15" hidden="false" customHeight="true" outlineLevel="0" collapsed="false">
      <c r="A47" s="5" t="s">
        <v>41</v>
      </c>
      <c r="B47" s="12"/>
      <c r="C47" s="12"/>
      <c r="D47" s="12"/>
      <c r="E47" s="12"/>
      <c r="F47" s="12"/>
    </row>
    <row r="48" customFormat="false" ht="15" hidden="false" customHeight="true" outlineLevel="0" collapsed="false">
      <c r="A48" s="5" t="s">
        <v>42</v>
      </c>
      <c r="B48" s="12"/>
      <c r="C48" s="12"/>
      <c r="D48" s="12"/>
      <c r="E48" s="12"/>
      <c r="F48" s="12"/>
    </row>
    <row r="49" customFormat="false" ht="15" hidden="false" customHeight="true" outlineLevel="0" collapsed="false">
      <c r="A49" s="5" t="s">
        <v>43</v>
      </c>
      <c r="B49" s="12"/>
      <c r="C49" s="12"/>
      <c r="D49" s="12"/>
      <c r="E49" s="12"/>
      <c r="F49" s="12"/>
    </row>
  </sheetData>
  <mergeCells count="14">
    <mergeCell ref="A1:F1"/>
    <mergeCell ref="A2:F2"/>
    <mergeCell ref="A4:B4"/>
    <mergeCell ref="A8:F8"/>
    <mergeCell ref="A16:B16"/>
    <mergeCell ref="A27:B27"/>
    <mergeCell ref="A35:B35"/>
    <mergeCell ref="A43:F43"/>
    <mergeCell ref="B44:F44"/>
    <mergeCell ref="B45:F45"/>
    <mergeCell ref="B46:F46"/>
    <mergeCell ref="B47:F47"/>
    <mergeCell ref="B48:F48"/>
    <mergeCell ref="B49:F49"/>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U1023"/>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1" width="22"/>
    <col collapsed="false" customWidth="true" hidden="false" outlineLevel="0" max="2" min="2" style="1" width="24"/>
    <col collapsed="false" customWidth="true" hidden="false" outlineLevel="0" max="3" min="3" style="1" width="16"/>
    <col collapsed="false" customWidth="true" hidden="false" outlineLevel="0" max="4" min="4" style="1" width="34"/>
    <col collapsed="false" customWidth="true" hidden="false" outlineLevel="0" max="6" min="5" style="1" width="12"/>
    <col collapsed="false" customWidth="true" hidden="false" outlineLevel="0" max="7" min="7" style="1" width="10"/>
    <col collapsed="false" customWidth="true" hidden="false" outlineLevel="0" max="8" min="8" style="1" width="20"/>
    <col collapsed="false" customWidth="true" hidden="false" outlineLevel="0" max="9" min="9" style="1" width="16"/>
    <col collapsed="false" customWidth="true" hidden="false" outlineLevel="0" max="11" min="10" style="1" width="24"/>
    <col collapsed="false" customWidth="true" hidden="false" outlineLevel="0" max="12" min="12" style="1" width="26"/>
    <col collapsed="false" customWidth="true" hidden="false" outlineLevel="0" max="15" min="13" style="1" width="14"/>
    <col collapsed="false" customWidth="true" hidden="false" outlineLevel="0" max="16" min="16" style="1" width="12"/>
    <col collapsed="false" customWidth="true" hidden="false" outlineLevel="0" max="17" min="17" style="1" width="14"/>
    <col collapsed="false" customWidth="true" hidden="false" outlineLevel="0" max="20" min="18" style="1" width="12"/>
    <col collapsed="false" customWidth="true" hidden="false" outlineLevel="0" max="21" min="21" style="1" width="30"/>
  </cols>
  <sheetData>
    <row r="1" customFormat="false" ht="19.5" hidden="false" customHeight="true" outlineLevel="0" collapsed="false">
      <c r="A1" s="2" t="s">
        <v>44</v>
      </c>
      <c r="B1" s="2"/>
      <c r="C1" s="2"/>
      <c r="D1" s="2"/>
      <c r="E1" s="2"/>
      <c r="F1" s="2"/>
      <c r="G1" s="2"/>
      <c r="H1" s="2"/>
      <c r="I1" s="2"/>
      <c r="J1" s="2"/>
      <c r="K1" s="2"/>
      <c r="L1" s="2"/>
      <c r="M1" s="2"/>
      <c r="N1" s="2"/>
      <c r="O1" s="2"/>
      <c r="P1" s="2"/>
      <c r="Q1" s="2"/>
      <c r="R1" s="2"/>
      <c r="S1" s="2"/>
      <c r="T1" s="2"/>
      <c r="U1" s="2"/>
    </row>
    <row r="2" customFormat="false" ht="13.5" hidden="false" customHeight="true" outlineLevel="0" collapsed="false">
      <c r="A2" s="3" t="s">
        <v>45</v>
      </c>
      <c r="B2" s="3"/>
      <c r="C2" s="3"/>
      <c r="D2" s="3"/>
      <c r="E2" s="3"/>
      <c r="F2" s="3"/>
      <c r="G2" s="3"/>
      <c r="H2" s="3"/>
      <c r="I2" s="3"/>
      <c r="J2" s="3"/>
      <c r="K2" s="3"/>
      <c r="L2" s="3"/>
      <c r="M2" s="3"/>
      <c r="N2" s="3"/>
      <c r="O2" s="3"/>
      <c r="P2" s="3"/>
      <c r="Q2" s="3"/>
      <c r="R2" s="3"/>
      <c r="S2" s="3"/>
      <c r="T2" s="3"/>
      <c r="U2" s="3"/>
    </row>
    <row r="3" customFormat="false" ht="33.75" hidden="false" customHeight="true" outlineLevel="0" collapsed="false">
      <c r="A3" s="13" t="s">
        <v>46</v>
      </c>
      <c r="B3" s="13" t="s">
        <v>47</v>
      </c>
      <c r="C3" s="13" t="s">
        <v>48</v>
      </c>
      <c r="D3" s="13" t="s">
        <v>49</v>
      </c>
      <c r="E3" s="13" t="s">
        <v>50</v>
      </c>
      <c r="F3" s="13" t="s">
        <v>51</v>
      </c>
      <c r="G3" s="13" t="s">
        <v>52</v>
      </c>
      <c r="H3" s="13" t="s">
        <v>53</v>
      </c>
      <c r="I3" s="13" t="s">
        <v>54</v>
      </c>
      <c r="J3" s="13" t="s">
        <v>55</v>
      </c>
      <c r="K3" s="13" t="s">
        <v>56</v>
      </c>
      <c r="L3" s="13" t="s">
        <v>57</v>
      </c>
      <c r="M3" s="13" t="s">
        <v>58</v>
      </c>
      <c r="N3" s="13" t="s">
        <v>59</v>
      </c>
      <c r="O3" s="13" t="s">
        <v>60</v>
      </c>
      <c r="P3" s="13" t="s">
        <v>61</v>
      </c>
      <c r="Q3" s="13" t="s">
        <v>62</v>
      </c>
      <c r="R3" s="13" t="s">
        <v>63</v>
      </c>
      <c r="S3" s="13" t="s">
        <v>64</v>
      </c>
      <c r="T3" s="13" t="s">
        <v>65</v>
      </c>
      <c r="U3" s="13" t="s">
        <v>66</v>
      </c>
    </row>
    <row r="4" customFormat="false" ht="15" hidden="false" customHeight="true" outlineLevel="0" collapsed="false">
      <c r="A4" s="14" t="s">
        <v>67</v>
      </c>
      <c r="B4" s="14" t="s">
        <v>68</v>
      </c>
      <c r="C4" s="14" t="s">
        <v>69</v>
      </c>
      <c r="D4" s="14" t="s">
        <v>70</v>
      </c>
      <c r="E4" s="14" t="s">
        <v>71</v>
      </c>
      <c r="F4" s="14" t="s">
        <v>71</v>
      </c>
      <c r="G4" s="14" t="s">
        <v>72</v>
      </c>
      <c r="H4" s="14"/>
      <c r="I4" s="14" t="s">
        <v>73</v>
      </c>
      <c r="J4" s="14" t="s">
        <v>74</v>
      </c>
      <c r="K4" s="14" t="s">
        <v>75</v>
      </c>
      <c r="L4" s="14" t="s">
        <v>76</v>
      </c>
      <c r="M4" s="14" t="s">
        <v>77</v>
      </c>
      <c r="N4" s="14" t="s">
        <v>71</v>
      </c>
      <c r="O4" s="14" t="s">
        <v>18</v>
      </c>
      <c r="P4" s="14" t="s">
        <v>78</v>
      </c>
      <c r="Q4" s="14"/>
      <c r="R4" s="14" t="s">
        <v>72</v>
      </c>
      <c r="S4" s="14" t="s">
        <v>72</v>
      </c>
      <c r="T4" s="14" t="s">
        <v>72</v>
      </c>
      <c r="U4" s="14" t="s">
        <v>79</v>
      </c>
    </row>
    <row r="5" customFormat="false" ht="15" hidden="false" customHeight="true" outlineLevel="0" collapsed="false">
      <c r="A5" s="15" t="s">
        <v>80</v>
      </c>
      <c r="B5" s="15"/>
      <c r="C5" s="15"/>
      <c r="D5" s="15" t="s">
        <v>81</v>
      </c>
      <c r="E5" s="15" t="s">
        <v>82</v>
      </c>
      <c r="F5" s="15" t="s">
        <v>82</v>
      </c>
      <c r="G5" s="15" t="s">
        <v>72</v>
      </c>
      <c r="H5" s="15"/>
      <c r="I5" s="15" t="s">
        <v>73</v>
      </c>
      <c r="J5" s="15" t="s">
        <v>83</v>
      </c>
      <c r="K5" s="15"/>
      <c r="L5" s="15"/>
      <c r="M5" s="15" t="s">
        <v>77</v>
      </c>
      <c r="N5" s="15" t="s">
        <v>72</v>
      </c>
      <c r="O5" s="15" t="s">
        <v>21</v>
      </c>
      <c r="P5" s="15" t="s">
        <v>84</v>
      </c>
      <c r="Q5" s="15" t="s">
        <v>84</v>
      </c>
      <c r="R5" s="15" t="s">
        <v>72</v>
      </c>
      <c r="S5" s="15" t="s">
        <v>72</v>
      </c>
      <c r="T5" s="15" t="s">
        <v>72</v>
      </c>
      <c r="U5" s="15" t="s">
        <v>85</v>
      </c>
    </row>
    <row r="6" customFormat="false" ht="15" hidden="false" customHeight="true" outlineLevel="0" collapsed="false">
      <c r="A6" s="15" t="s">
        <v>86</v>
      </c>
      <c r="B6" s="15"/>
      <c r="C6" s="15"/>
      <c r="D6" s="15" t="s">
        <v>81</v>
      </c>
      <c r="E6" s="15" t="s">
        <v>82</v>
      </c>
      <c r="F6" s="15" t="s">
        <v>82</v>
      </c>
      <c r="G6" s="15" t="s">
        <v>72</v>
      </c>
      <c r="H6" s="15"/>
      <c r="I6" s="15" t="s">
        <v>73</v>
      </c>
      <c r="J6" s="15"/>
      <c r="K6" s="15" t="s">
        <v>87</v>
      </c>
      <c r="L6" s="15"/>
      <c r="M6" s="15" t="s">
        <v>77</v>
      </c>
      <c r="N6" s="15" t="s">
        <v>72</v>
      </c>
      <c r="O6" s="15" t="s">
        <v>21</v>
      </c>
      <c r="P6" s="15" t="s">
        <v>84</v>
      </c>
      <c r="Q6" s="15" t="s">
        <v>84</v>
      </c>
      <c r="R6" s="15" t="s">
        <v>72</v>
      </c>
      <c r="S6" s="15" t="s">
        <v>72</v>
      </c>
      <c r="T6" s="15" t="s">
        <v>72</v>
      </c>
      <c r="U6" s="15" t="s">
        <v>88</v>
      </c>
    </row>
    <row r="7" customFormat="false" ht="15" hidden="false" customHeight="true" outlineLevel="0" collapsed="false">
      <c r="A7" s="15" t="s">
        <v>89</v>
      </c>
      <c r="B7" s="15"/>
      <c r="C7" s="15"/>
      <c r="D7" s="15" t="s">
        <v>81</v>
      </c>
      <c r="E7" s="15" t="s">
        <v>82</v>
      </c>
      <c r="F7" s="15" t="s">
        <v>82</v>
      </c>
      <c r="G7" s="15" t="s">
        <v>72</v>
      </c>
      <c r="H7" s="15"/>
      <c r="I7" s="15" t="s">
        <v>73</v>
      </c>
      <c r="J7" s="15"/>
      <c r="K7" s="15" t="s">
        <v>90</v>
      </c>
      <c r="L7" s="15"/>
      <c r="M7" s="15" t="s">
        <v>77</v>
      </c>
      <c r="N7" s="15" t="s">
        <v>72</v>
      </c>
      <c r="O7" s="15" t="s">
        <v>20</v>
      </c>
      <c r="P7" s="15" t="s">
        <v>91</v>
      </c>
      <c r="Q7" s="15" t="s">
        <v>91</v>
      </c>
      <c r="R7" s="15" t="s">
        <v>72</v>
      </c>
      <c r="S7" s="15" t="s">
        <v>72</v>
      </c>
      <c r="T7" s="15" t="s">
        <v>72</v>
      </c>
      <c r="U7" s="15" t="s">
        <v>92</v>
      </c>
    </row>
    <row r="8" customFormat="false" ht="15" hidden="false" customHeight="true" outlineLevel="0" collapsed="false">
      <c r="A8" s="15" t="s">
        <v>93</v>
      </c>
      <c r="B8" s="15"/>
      <c r="C8" s="15"/>
      <c r="D8" s="15" t="s">
        <v>81</v>
      </c>
      <c r="E8" s="15" t="s">
        <v>82</v>
      </c>
      <c r="F8" s="15" t="s">
        <v>82</v>
      </c>
      <c r="G8" s="15" t="s">
        <v>72</v>
      </c>
      <c r="H8" s="15"/>
      <c r="I8" s="15" t="s">
        <v>73</v>
      </c>
      <c r="J8" s="15" t="s">
        <v>94</v>
      </c>
      <c r="K8" s="15" t="s">
        <v>95</v>
      </c>
      <c r="L8" s="15"/>
      <c r="M8" s="15" t="s">
        <v>77</v>
      </c>
      <c r="N8" s="15" t="s">
        <v>72</v>
      </c>
      <c r="O8" s="15" t="s">
        <v>20</v>
      </c>
      <c r="P8" s="15" t="s">
        <v>91</v>
      </c>
      <c r="Q8" s="15" t="s">
        <v>91</v>
      </c>
      <c r="R8" s="15" t="s">
        <v>72</v>
      </c>
      <c r="S8" s="15" t="s">
        <v>72</v>
      </c>
      <c r="T8" s="15" t="s">
        <v>72</v>
      </c>
      <c r="U8" s="15" t="s">
        <v>96</v>
      </c>
    </row>
    <row r="9" customFormat="false" ht="15" hidden="false" customHeight="true" outlineLevel="0" collapsed="false">
      <c r="A9" s="15" t="s">
        <v>97</v>
      </c>
      <c r="B9" s="15"/>
      <c r="C9" s="15"/>
      <c r="D9" s="15" t="s">
        <v>81</v>
      </c>
      <c r="E9" s="15" t="s">
        <v>82</v>
      </c>
      <c r="F9" s="15" t="s">
        <v>82</v>
      </c>
      <c r="G9" s="15" t="s">
        <v>72</v>
      </c>
      <c r="H9" s="15"/>
      <c r="I9" s="15" t="s">
        <v>73</v>
      </c>
      <c r="J9" s="15"/>
      <c r="K9" s="15" t="s">
        <v>98</v>
      </c>
      <c r="L9" s="15"/>
      <c r="M9" s="15" t="s">
        <v>77</v>
      </c>
      <c r="N9" s="15" t="s">
        <v>72</v>
      </c>
      <c r="O9" s="15" t="s">
        <v>20</v>
      </c>
      <c r="P9" s="15" t="s">
        <v>91</v>
      </c>
      <c r="Q9" s="15" t="s">
        <v>91</v>
      </c>
      <c r="R9" s="15" t="s">
        <v>72</v>
      </c>
      <c r="S9" s="15" t="s">
        <v>72</v>
      </c>
      <c r="T9" s="15" t="s">
        <v>72</v>
      </c>
      <c r="U9" s="15" t="s">
        <v>99</v>
      </c>
    </row>
    <row r="10" customFormat="false" ht="15" hidden="false" customHeight="true" outlineLevel="0" collapsed="false">
      <c r="A10" s="15" t="s">
        <v>100</v>
      </c>
      <c r="B10" s="15"/>
      <c r="C10" s="15"/>
      <c r="D10" s="15" t="s">
        <v>81</v>
      </c>
      <c r="E10" s="15" t="s">
        <v>82</v>
      </c>
      <c r="F10" s="15" t="s">
        <v>82</v>
      </c>
      <c r="G10" s="15" t="s">
        <v>72</v>
      </c>
      <c r="H10" s="15"/>
      <c r="I10" s="15" t="s">
        <v>73</v>
      </c>
      <c r="J10" s="15"/>
      <c r="K10" s="15" t="s">
        <v>101</v>
      </c>
      <c r="L10" s="15"/>
      <c r="M10" s="15" t="s">
        <v>77</v>
      </c>
      <c r="N10" s="15" t="s">
        <v>72</v>
      </c>
      <c r="O10" s="15" t="s">
        <v>20</v>
      </c>
      <c r="P10" s="15" t="s">
        <v>91</v>
      </c>
      <c r="Q10" s="15" t="s">
        <v>91</v>
      </c>
      <c r="R10" s="15" t="s">
        <v>72</v>
      </c>
      <c r="S10" s="15" t="s">
        <v>72</v>
      </c>
      <c r="T10" s="15" t="s">
        <v>72</v>
      </c>
      <c r="U10" s="15" t="s">
        <v>102</v>
      </c>
    </row>
    <row r="11" customFormat="false" ht="15" hidden="false" customHeight="true" outlineLevel="0" collapsed="false">
      <c r="A11" s="15" t="s">
        <v>103</v>
      </c>
      <c r="B11" s="15"/>
      <c r="C11" s="15"/>
      <c r="D11" s="15" t="s">
        <v>81</v>
      </c>
      <c r="E11" s="15" t="s">
        <v>82</v>
      </c>
      <c r="F11" s="15" t="s">
        <v>82</v>
      </c>
      <c r="G11" s="15" t="s">
        <v>72</v>
      </c>
      <c r="H11" s="15"/>
      <c r="I11" s="15" t="s">
        <v>73</v>
      </c>
      <c r="J11" s="15" t="s">
        <v>104</v>
      </c>
      <c r="K11" s="15"/>
      <c r="L11" s="15"/>
      <c r="M11" s="15" t="s">
        <v>77</v>
      </c>
      <c r="N11" s="15" t="s">
        <v>72</v>
      </c>
      <c r="O11" s="15" t="s">
        <v>105</v>
      </c>
      <c r="P11" s="15" t="s">
        <v>91</v>
      </c>
      <c r="Q11" s="15" t="s">
        <v>91</v>
      </c>
      <c r="R11" s="15" t="s">
        <v>72</v>
      </c>
      <c r="S11" s="15" t="s">
        <v>72</v>
      </c>
      <c r="T11" s="15" t="s">
        <v>72</v>
      </c>
      <c r="U11" s="15" t="s">
        <v>106</v>
      </c>
    </row>
    <row r="12" customFormat="false" ht="15" hidden="false" customHeight="true" outlineLevel="0" collapsed="false">
      <c r="A12" s="15" t="s">
        <v>107</v>
      </c>
      <c r="B12" s="15"/>
      <c r="C12" s="15"/>
      <c r="D12" s="15" t="s">
        <v>81</v>
      </c>
      <c r="E12" s="15" t="s">
        <v>82</v>
      </c>
      <c r="F12" s="15" t="s">
        <v>82</v>
      </c>
      <c r="G12" s="15" t="s">
        <v>72</v>
      </c>
      <c r="H12" s="15"/>
      <c r="I12" s="15" t="s">
        <v>73</v>
      </c>
      <c r="J12" s="15"/>
      <c r="K12" s="15" t="s">
        <v>108</v>
      </c>
      <c r="L12" s="15"/>
      <c r="M12" s="15" t="s">
        <v>77</v>
      </c>
      <c r="N12" s="15" t="s">
        <v>72</v>
      </c>
      <c r="O12" s="15" t="s">
        <v>20</v>
      </c>
      <c r="P12" s="15" t="s">
        <v>91</v>
      </c>
      <c r="Q12" s="15" t="s">
        <v>91</v>
      </c>
      <c r="R12" s="15" t="s">
        <v>72</v>
      </c>
      <c r="S12" s="15" t="s">
        <v>72</v>
      </c>
      <c r="T12" s="15" t="s">
        <v>72</v>
      </c>
      <c r="U12" s="15" t="s">
        <v>109</v>
      </c>
    </row>
    <row r="13" customFormat="false" ht="15" hidden="false" customHeight="true" outlineLevel="0" collapsed="false">
      <c r="A13" s="15" t="s">
        <v>110</v>
      </c>
      <c r="B13" s="15"/>
      <c r="C13" s="15"/>
      <c r="D13" s="15" t="s">
        <v>81</v>
      </c>
      <c r="E13" s="15" t="s">
        <v>82</v>
      </c>
      <c r="F13" s="15" t="s">
        <v>82</v>
      </c>
      <c r="G13" s="15" t="s">
        <v>72</v>
      </c>
      <c r="H13" s="15"/>
      <c r="I13" s="15" t="s">
        <v>73</v>
      </c>
      <c r="J13" s="15"/>
      <c r="K13" s="15" t="s">
        <v>111</v>
      </c>
      <c r="L13" s="15"/>
      <c r="M13" s="15" t="s">
        <v>77</v>
      </c>
      <c r="N13" s="15" t="s">
        <v>72</v>
      </c>
      <c r="O13" s="15" t="s">
        <v>20</v>
      </c>
      <c r="P13" s="15" t="s">
        <v>91</v>
      </c>
      <c r="Q13" s="15" t="s">
        <v>91</v>
      </c>
      <c r="R13" s="15" t="s">
        <v>72</v>
      </c>
      <c r="S13" s="15" t="s">
        <v>72</v>
      </c>
      <c r="T13" s="15" t="s">
        <v>72</v>
      </c>
      <c r="U13" s="15" t="s">
        <v>109</v>
      </c>
    </row>
    <row r="14" customFormat="false" ht="15" hidden="false" customHeight="true" outlineLevel="0" collapsed="false">
      <c r="A14" s="15" t="s">
        <v>112</v>
      </c>
      <c r="B14" s="15"/>
      <c r="C14" s="15"/>
      <c r="D14" s="15" t="s">
        <v>81</v>
      </c>
      <c r="E14" s="15" t="s">
        <v>82</v>
      </c>
      <c r="F14" s="15" t="s">
        <v>82</v>
      </c>
      <c r="G14" s="15" t="s">
        <v>72</v>
      </c>
      <c r="H14" s="15"/>
      <c r="I14" s="15" t="s">
        <v>73</v>
      </c>
      <c r="J14" s="15"/>
      <c r="K14" s="15" t="s">
        <v>113</v>
      </c>
      <c r="L14" s="15"/>
      <c r="M14" s="15" t="s">
        <v>77</v>
      </c>
      <c r="N14" s="15" t="s">
        <v>72</v>
      </c>
      <c r="O14" s="15" t="s">
        <v>20</v>
      </c>
      <c r="P14" s="15" t="s">
        <v>91</v>
      </c>
      <c r="Q14" s="15" t="s">
        <v>91</v>
      </c>
      <c r="R14" s="15" t="s">
        <v>72</v>
      </c>
      <c r="S14" s="15" t="s">
        <v>72</v>
      </c>
      <c r="T14" s="15" t="s">
        <v>72</v>
      </c>
      <c r="U14" s="15" t="s">
        <v>109</v>
      </c>
    </row>
    <row r="15" customFormat="false" ht="15" hidden="false" customHeight="true" outlineLevel="0" collapsed="false">
      <c r="A15" s="15" t="s">
        <v>114</v>
      </c>
      <c r="B15" s="15" t="s">
        <v>68</v>
      </c>
      <c r="C15" s="15" t="s">
        <v>115</v>
      </c>
      <c r="D15" s="15" t="s">
        <v>116</v>
      </c>
      <c r="E15" s="15" t="s">
        <v>71</v>
      </c>
      <c r="F15" s="15" t="s">
        <v>71</v>
      </c>
      <c r="G15" s="15" t="s">
        <v>72</v>
      </c>
      <c r="H15" s="15"/>
      <c r="I15" s="15" t="s">
        <v>73</v>
      </c>
      <c r="J15" s="15" t="s">
        <v>74</v>
      </c>
      <c r="K15" s="15" t="s">
        <v>75</v>
      </c>
      <c r="L15" s="15"/>
      <c r="M15" s="15" t="s">
        <v>77</v>
      </c>
      <c r="N15" s="15" t="s">
        <v>72</v>
      </c>
      <c r="O15" s="15" t="s">
        <v>20</v>
      </c>
      <c r="P15" s="15" t="s">
        <v>78</v>
      </c>
      <c r="Q15" s="15" t="s">
        <v>78</v>
      </c>
      <c r="R15" s="15" t="s">
        <v>72</v>
      </c>
      <c r="S15" s="15" t="s">
        <v>72</v>
      </c>
      <c r="T15" s="15" t="s">
        <v>72</v>
      </c>
      <c r="U15" s="15" t="s">
        <v>117</v>
      </c>
    </row>
    <row r="16" customFormat="false" ht="15" hidden="false" customHeight="true" outlineLevel="0" collapsed="false">
      <c r="A16" s="15" t="s">
        <v>118</v>
      </c>
      <c r="B16" s="15" t="s">
        <v>68</v>
      </c>
      <c r="C16" s="15" t="s">
        <v>115</v>
      </c>
      <c r="D16" s="15" t="s">
        <v>119</v>
      </c>
      <c r="E16" s="15" t="s">
        <v>71</v>
      </c>
      <c r="F16" s="15" t="s">
        <v>71</v>
      </c>
      <c r="G16" s="15" t="s">
        <v>72</v>
      </c>
      <c r="H16" s="15"/>
      <c r="I16" s="15" t="s">
        <v>73</v>
      </c>
      <c r="J16" s="15" t="s">
        <v>120</v>
      </c>
      <c r="K16" s="15"/>
      <c r="L16" s="15"/>
      <c r="M16" s="15" t="s">
        <v>77</v>
      </c>
      <c r="N16" s="15" t="s">
        <v>72</v>
      </c>
      <c r="O16" s="15" t="s">
        <v>20</v>
      </c>
      <c r="P16" s="15" t="s">
        <v>78</v>
      </c>
      <c r="Q16" s="15" t="s">
        <v>78</v>
      </c>
      <c r="R16" s="15" t="s">
        <v>72</v>
      </c>
      <c r="S16" s="15" t="s">
        <v>72</v>
      </c>
      <c r="T16" s="15" t="s">
        <v>72</v>
      </c>
      <c r="U16" s="15" t="s">
        <v>117</v>
      </c>
    </row>
    <row r="17" customFormat="false" ht="15" hidden="false" customHeight="true" outlineLevel="0" collapsed="false">
      <c r="A17" s="15" t="s">
        <v>121</v>
      </c>
      <c r="B17" s="15" t="s">
        <v>68</v>
      </c>
      <c r="C17" s="15" t="s">
        <v>122</v>
      </c>
      <c r="D17" s="15" t="s">
        <v>123</v>
      </c>
      <c r="E17" s="15" t="s">
        <v>71</v>
      </c>
      <c r="F17" s="15" t="s">
        <v>71</v>
      </c>
      <c r="G17" s="15" t="s">
        <v>72</v>
      </c>
      <c r="H17" s="15"/>
      <c r="I17" s="15" t="s">
        <v>73</v>
      </c>
      <c r="J17" s="15" t="s">
        <v>124</v>
      </c>
      <c r="K17" s="15"/>
      <c r="L17" s="15"/>
      <c r="M17" s="15" t="s">
        <v>77</v>
      </c>
      <c r="N17" s="15" t="s">
        <v>72</v>
      </c>
      <c r="O17" s="15" t="s">
        <v>20</v>
      </c>
      <c r="P17" s="15" t="s">
        <v>78</v>
      </c>
      <c r="Q17" s="15" t="s">
        <v>78</v>
      </c>
      <c r="R17" s="15" t="s">
        <v>72</v>
      </c>
      <c r="S17" s="15" t="s">
        <v>72</v>
      </c>
      <c r="T17" s="15" t="s">
        <v>72</v>
      </c>
      <c r="U17" s="15" t="s">
        <v>117</v>
      </c>
    </row>
    <row r="18" customFormat="false" ht="15" hidden="false" customHeight="true" outlineLevel="0" collapsed="false">
      <c r="A18" s="15" t="s">
        <v>125</v>
      </c>
      <c r="B18" s="15" t="s">
        <v>68</v>
      </c>
      <c r="C18" s="15" t="s">
        <v>126</v>
      </c>
      <c r="D18" s="15" t="s">
        <v>127</v>
      </c>
      <c r="E18" s="15" t="s">
        <v>71</v>
      </c>
      <c r="F18" s="15" t="s">
        <v>71</v>
      </c>
      <c r="G18" s="15" t="s">
        <v>72</v>
      </c>
      <c r="H18" s="15"/>
      <c r="I18" s="15" t="s">
        <v>73</v>
      </c>
      <c r="J18" s="15" t="s">
        <v>128</v>
      </c>
      <c r="K18" s="15"/>
      <c r="L18" s="15"/>
      <c r="M18" s="15" t="s">
        <v>77</v>
      </c>
      <c r="N18" s="15" t="s">
        <v>72</v>
      </c>
      <c r="O18" s="15" t="s">
        <v>20</v>
      </c>
      <c r="P18" s="15" t="s">
        <v>78</v>
      </c>
      <c r="Q18" s="15" t="s">
        <v>78</v>
      </c>
      <c r="R18" s="15" t="s">
        <v>72</v>
      </c>
      <c r="S18" s="15" t="s">
        <v>72</v>
      </c>
      <c r="T18" s="15" t="s">
        <v>72</v>
      </c>
      <c r="U18" s="15" t="s">
        <v>117</v>
      </c>
    </row>
    <row r="19" customFormat="false" ht="15" hidden="false" customHeight="true" outlineLevel="0" collapsed="false">
      <c r="A19" s="15" t="s">
        <v>129</v>
      </c>
      <c r="B19" s="15" t="s">
        <v>68</v>
      </c>
      <c r="C19" s="15" t="s">
        <v>130</v>
      </c>
      <c r="D19" s="15" t="s">
        <v>131</v>
      </c>
      <c r="E19" s="15" t="s">
        <v>71</v>
      </c>
      <c r="F19" s="15" t="s">
        <v>71</v>
      </c>
      <c r="G19" s="15" t="s">
        <v>72</v>
      </c>
      <c r="H19" s="15"/>
      <c r="I19" s="15" t="s">
        <v>73</v>
      </c>
      <c r="J19" s="15" t="s">
        <v>132</v>
      </c>
      <c r="K19" s="15" t="s">
        <v>133</v>
      </c>
      <c r="L19" s="15"/>
      <c r="M19" s="15" t="s">
        <v>77</v>
      </c>
      <c r="N19" s="15" t="s">
        <v>72</v>
      </c>
      <c r="O19" s="15" t="s">
        <v>20</v>
      </c>
      <c r="P19" s="15" t="s">
        <v>78</v>
      </c>
      <c r="Q19" s="15" t="s">
        <v>78</v>
      </c>
      <c r="R19" s="15" t="s">
        <v>72</v>
      </c>
      <c r="S19" s="15" t="s">
        <v>72</v>
      </c>
      <c r="T19" s="15" t="s">
        <v>72</v>
      </c>
      <c r="U19" s="15" t="s">
        <v>117</v>
      </c>
    </row>
    <row r="20" customFormat="false" ht="15" hidden="false" customHeight="true" outlineLevel="0" collapsed="false">
      <c r="A20" s="15" t="s">
        <v>134</v>
      </c>
      <c r="B20" s="15" t="s">
        <v>68</v>
      </c>
      <c r="C20" s="15" t="s">
        <v>135</v>
      </c>
      <c r="D20" s="15" t="s">
        <v>136</v>
      </c>
      <c r="E20" s="15" t="s">
        <v>71</v>
      </c>
      <c r="F20" s="15" t="s">
        <v>71</v>
      </c>
      <c r="G20" s="15" t="s">
        <v>72</v>
      </c>
      <c r="H20" s="15"/>
      <c r="I20" s="15" t="s">
        <v>73</v>
      </c>
      <c r="J20" s="15" t="s">
        <v>137</v>
      </c>
      <c r="K20" s="15"/>
      <c r="L20" s="15"/>
      <c r="M20" s="15" t="s">
        <v>77</v>
      </c>
      <c r="N20" s="15" t="s">
        <v>72</v>
      </c>
      <c r="O20" s="15" t="s">
        <v>20</v>
      </c>
      <c r="P20" s="15" t="s">
        <v>78</v>
      </c>
      <c r="Q20" s="15" t="s">
        <v>78</v>
      </c>
      <c r="R20" s="15" t="s">
        <v>72</v>
      </c>
      <c r="S20" s="15" t="s">
        <v>72</v>
      </c>
      <c r="T20" s="15" t="s">
        <v>72</v>
      </c>
      <c r="U20" s="15" t="s">
        <v>117</v>
      </c>
    </row>
    <row r="21" customFormat="false" ht="15" hidden="false" customHeight="true" outlineLevel="0" collapsed="false">
      <c r="A21" s="15" t="s">
        <v>138</v>
      </c>
      <c r="B21" s="15" t="s">
        <v>68</v>
      </c>
      <c r="C21" s="15" t="s">
        <v>126</v>
      </c>
      <c r="D21" s="15" t="s">
        <v>139</v>
      </c>
      <c r="E21" s="15" t="s">
        <v>71</v>
      </c>
      <c r="F21" s="15" t="s">
        <v>71</v>
      </c>
      <c r="G21" s="15" t="s">
        <v>72</v>
      </c>
      <c r="H21" s="15"/>
      <c r="I21" s="15" t="s">
        <v>73</v>
      </c>
      <c r="J21" s="15" t="s">
        <v>140</v>
      </c>
      <c r="K21" s="15"/>
      <c r="L21" s="15"/>
      <c r="M21" s="15" t="s">
        <v>77</v>
      </c>
      <c r="N21" s="15" t="s">
        <v>72</v>
      </c>
      <c r="O21" s="15" t="s">
        <v>20</v>
      </c>
      <c r="P21" s="15" t="s">
        <v>78</v>
      </c>
      <c r="Q21" s="15" t="s">
        <v>78</v>
      </c>
      <c r="R21" s="15" t="s">
        <v>72</v>
      </c>
      <c r="S21" s="15" t="s">
        <v>72</v>
      </c>
      <c r="T21" s="15" t="s">
        <v>72</v>
      </c>
      <c r="U21" s="15" t="s">
        <v>117</v>
      </c>
    </row>
    <row r="22" customFormat="false" ht="15" hidden="false" customHeight="true" outlineLevel="0" collapsed="false">
      <c r="A22" s="15" t="s">
        <v>141</v>
      </c>
      <c r="B22" s="15" t="s">
        <v>68</v>
      </c>
      <c r="C22" s="15" t="s">
        <v>115</v>
      </c>
      <c r="D22" s="15" t="s">
        <v>142</v>
      </c>
      <c r="E22" s="15" t="s">
        <v>71</v>
      </c>
      <c r="F22" s="15" t="s">
        <v>71</v>
      </c>
      <c r="G22" s="15" t="s">
        <v>72</v>
      </c>
      <c r="H22" s="15"/>
      <c r="I22" s="15" t="s">
        <v>73</v>
      </c>
      <c r="J22" s="15" t="s">
        <v>143</v>
      </c>
      <c r="K22" s="15"/>
      <c r="L22" s="15"/>
      <c r="M22" s="15" t="s">
        <v>77</v>
      </c>
      <c r="N22" s="15" t="s">
        <v>72</v>
      </c>
      <c r="O22" s="15" t="s">
        <v>20</v>
      </c>
      <c r="P22" s="15" t="s">
        <v>78</v>
      </c>
      <c r="Q22" s="15" t="s">
        <v>78</v>
      </c>
      <c r="R22" s="15" t="s">
        <v>72</v>
      </c>
      <c r="S22" s="15" t="s">
        <v>72</v>
      </c>
      <c r="T22" s="15" t="s">
        <v>72</v>
      </c>
      <c r="U22" s="15" t="s">
        <v>117</v>
      </c>
    </row>
    <row r="23" customFormat="false" ht="15" hidden="false" customHeight="true" outlineLevel="0" collapsed="false">
      <c r="A23" s="15" t="s">
        <v>144</v>
      </c>
      <c r="B23" s="15" t="s">
        <v>68</v>
      </c>
      <c r="C23" s="15" t="s">
        <v>145</v>
      </c>
      <c r="D23" s="15" t="s">
        <v>146</v>
      </c>
      <c r="E23" s="15" t="s">
        <v>71</v>
      </c>
      <c r="F23" s="15" t="s">
        <v>71</v>
      </c>
      <c r="G23" s="15" t="s">
        <v>72</v>
      </c>
      <c r="H23" s="15"/>
      <c r="I23" s="15" t="s">
        <v>73</v>
      </c>
      <c r="J23" s="15" t="s">
        <v>147</v>
      </c>
      <c r="K23" s="15" t="s">
        <v>148</v>
      </c>
      <c r="L23" s="15"/>
      <c r="M23" s="15" t="s">
        <v>77</v>
      </c>
      <c r="N23" s="15" t="s">
        <v>72</v>
      </c>
      <c r="O23" s="15" t="s">
        <v>20</v>
      </c>
      <c r="P23" s="15" t="s">
        <v>78</v>
      </c>
      <c r="Q23" s="15" t="s">
        <v>78</v>
      </c>
      <c r="R23" s="15" t="s">
        <v>72</v>
      </c>
      <c r="S23" s="15" t="s">
        <v>72</v>
      </c>
      <c r="T23" s="15" t="s">
        <v>72</v>
      </c>
      <c r="U23" s="15" t="s">
        <v>117</v>
      </c>
    </row>
    <row r="24" customFormat="false" ht="15" hidden="false" customHeight="true" outlineLevel="0" collapsed="false">
      <c r="A24" s="15" t="s">
        <v>149</v>
      </c>
      <c r="B24" s="15" t="s">
        <v>68</v>
      </c>
      <c r="C24" s="15" t="s">
        <v>150</v>
      </c>
      <c r="D24" s="15" t="s">
        <v>151</v>
      </c>
      <c r="E24" s="15" t="s">
        <v>71</v>
      </c>
      <c r="F24" s="15" t="s">
        <v>71</v>
      </c>
      <c r="G24" s="15" t="s">
        <v>72</v>
      </c>
      <c r="H24" s="15"/>
      <c r="I24" s="15" t="s">
        <v>73</v>
      </c>
      <c r="J24" s="15" t="s">
        <v>152</v>
      </c>
      <c r="K24" s="15"/>
      <c r="L24" s="15"/>
      <c r="M24" s="15" t="s">
        <v>77</v>
      </c>
      <c r="N24" s="15" t="s">
        <v>72</v>
      </c>
      <c r="O24" s="15" t="s">
        <v>20</v>
      </c>
      <c r="P24" s="15" t="s">
        <v>78</v>
      </c>
      <c r="Q24" s="15" t="s">
        <v>78</v>
      </c>
      <c r="R24" s="15" t="s">
        <v>72</v>
      </c>
      <c r="S24" s="15" t="s">
        <v>72</v>
      </c>
      <c r="T24" s="15" t="s">
        <v>72</v>
      </c>
      <c r="U24" s="15" t="s">
        <v>117</v>
      </c>
    </row>
    <row r="25" customFormat="false" ht="15" hidden="false" customHeight="true" outlineLevel="0" collapsed="false">
      <c r="A25" s="15" t="s">
        <v>153</v>
      </c>
      <c r="B25" s="15" t="s">
        <v>68</v>
      </c>
      <c r="C25" s="15" t="s">
        <v>154</v>
      </c>
      <c r="D25" s="15" t="s">
        <v>155</v>
      </c>
      <c r="E25" s="15" t="s">
        <v>71</v>
      </c>
      <c r="F25" s="15" t="s">
        <v>71</v>
      </c>
      <c r="G25" s="15" t="s">
        <v>72</v>
      </c>
      <c r="H25" s="15"/>
      <c r="I25" s="15" t="s">
        <v>73</v>
      </c>
      <c r="J25" s="15" t="s">
        <v>156</v>
      </c>
      <c r="K25" s="15"/>
      <c r="L25" s="15"/>
      <c r="M25" s="15" t="s">
        <v>77</v>
      </c>
      <c r="N25" s="15" t="s">
        <v>72</v>
      </c>
      <c r="O25" s="15" t="s">
        <v>20</v>
      </c>
      <c r="P25" s="15" t="s">
        <v>78</v>
      </c>
      <c r="Q25" s="15" t="s">
        <v>78</v>
      </c>
      <c r="R25" s="15" t="s">
        <v>72</v>
      </c>
      <c r="S25" s="15" t="s">
        <v>72</v>
      </c>
      <c r="T25" s="15" t="s">
        <v>72</v>
      </c>
      <c r="U25" s="15" t="s">
        <v>117</v>
      </c>
    </row>
    <row r="26" customFormat="false" ht="15" hidden="false" customHeight="true" outlineLevel="0" collapsed="false">
      <c r="A26" s="15" t="s">
        <v>157</v>
      </c>
      <c r="B26" s="15" t="s">
        <v>68</v>
      </c>
      <c r="C26" s="15" t="s">
        <v>126</v>
      </c>
      <c r="D26" s="15" t="s">
        <v>158</v>
      </c>
      <c r="E26" s="15" t="s">
        <v>71</v>
      </c>
      <c r="F26" s="15" t="s">
        <v>71</v>
      </c>
      <c r="G26" s="15" t="s">
        <v>72</v>
      </c>
      <c r="H26" s="15"/>
      <c r="I26" s="15" t="s">
        <v>73</v>
      </c>
      <c r="J26" s="15" t="s">
        <v>159</v>
      </c>
      <c r="K26" s="15" t="s">
        <v>160</v>
      </c>
      <c r="L26" s="15"/>
      <c r="M26" s="15" t="s">
        <v>77</v>
      </c>
      <c r="N26" s="15" t="s">
        <v>72</v>
      </c>
      <c r="O26" s="15" t="s">
        <v>20</v>
      </c>
      <c r="P26" s="15" t="s">
        <v>78</v>
      </c>
      <c r="Q26" s="15" t="s">
        <v>78</v>
      </c>
      <c r="R26" s="15" t="s">
        <v>72</v>
      </c>
      <c r="S26" s="15" t="s">
        <v>72</v>
      </c>
      <c r="T26" s="15" t="s">
        <v>72</v>
      </c>
      <c r="U26" s="15" t="s">
        <v>117</v>
      </c>
    </row>
    <row r="27" customFormat="false" ht="15" hidden="false" customHeight="true" outlineLevel="0" collapsed="false">
      <c r="A27" s="15" t="s">
        <v>161</v>
      </c>
      <c r="B27" s="15" t="s">
        <v>162</v>
      </c>
      <c r="C27" s="15" t="s">
        <v>163</v>
      </c>
      <c r="D27" s="15" t="s">
        <v>164</v>
      </c>
      <c r="E27" s="15" t="s">
        <v>71</v>
      </c>
      <c r="F27" s="15" t="s">
        <v>71</v>
      </c>
      <c r="G27" s="15" t="s">
        <v>72</v>
      </c>
      <c r="H27" s="15"/>
      <c r="I27" s="15" t="s">
        <v>73</v>
      </c>
      <c r="J27" s="15" t="s">
        <v>165</v>
      </c>
      <c r="K27" s="15"/>
      <c r="L27" s="15"/>
      <c r="M27" s="15" t="s">
        <v>77</v>
      </c>
      <c r="N27" s="15" t="s">
        <v>72</v>
      </c>
      <c r="O27" s="15" t="s">
        <v>20</v>
      </c>
      <c r="P27" s="15" t="s">
        <v>78</v>
      </c>
      <c r="Q27" s="15" t="s">
        <v>78</v>
      </c>
      <c r="R27" s="15" t="s">
        <v>72</v>
      </c>
      <c r="S27" s="15" t="s">
        <v>72</v>
      </c>
      <c r="T27" s="15" t="s">
        <v>72</v>
      </c>
      <c r="U27" s="15" t="s">
        <v>117</v>
      </c>
    </row>
    <row r="28" customFormat="false" ht="15" hidden="false" customHeight="true" outlineLevel="0" collapsed="false">
      <c r="A28" s="15" t="s">
        <v>166</v>
      </c>
      <c r="B28" s="15" t="s">
        <v>162</v>
      </c>
      <c r="C28" s="15" t="s">
        <v>167</v>
      </c>
      <c r="D28" s="15" t="s">
        <v>168</v>
      </c>
      <c r="E28" s="15" t="s">
        <v>71</v>
      </c>
      <c r="F28" s="15" t="s">
        <v>71</v>
      </c>
      <c r="G28" s="15" t="s">
        <v>72</v>
      </c>
      <c r="H28" s="15"/>
      <c r="I28" s="15" t="s">
        <v>73</v>
      </c>
      <c r="J28" s="15" t="s">
        <v>169</v>
      </c>
      <c r="K28" s="15"/>
      <c r="L28" s="15"/>
      <c r="M28" s="15" t="s">
        <v>77</v>
      </c>
      <c r="N28" s="15" t="s">
        <v>72</v>
      </c>
      <c r="O28" s="15" t="s">
        <v>20</v>
      </c>
      <c r="P28" s="15" t="s">
        <v>78</v>
      </c>
      <c r="Q28" s="15" t="s">
        <v>78</v>
      </c>
      <c r="R28" s="15" t="s">
        <v>72</v>
      </c>
      <c r="S28" s="15" t="s">
        <v>72</v>
      </c>
      <c r="T28" s="15" t="s">
        <v>72</v>
      </c>
      <c r="U28" s="15" t="s">
        <v>117</v>
      </c>
    </row>
    <row r="29" customFormat="false" ht="15" hidden="false" customHeight="true" outlineLevel="0" collapsed="false">
      <c r="A29" s="15" t="s">
        <v>170</v>
      </c>
      <c r="B29" s="15" t="s">
        <v>162</v>
      </c>
      <c r="C29" s="15" t="s">
        <v>171</v>
      </c>
      <c r="D29" s="15" t="s">
        <v>172</v>
      </c>
      <c r="E29" s="15" t="s">
        <v>71</v>
      </c>
      <c r="F29" s="15" t="s">
        <v>71</v>
      </c>
      <c r="G29" s="15" t="s">
        <v>72</v>
      </c>
      <c r="H29" s="15"/>
      <c r="I29" s="15" t="s">
        <v>73</v>
      </c>
      <c r="J29" s="15" t="s">
        <v>173</v>
      </c>
      <c r="K29" s="15"/>
      <c r="L29" s="15"/>
      <c r="M29" s="15" t="s">
        <v>77</v>
      </c>
      <c r="N29" s="15" t="s">
        <v>72</v>
      </c>
      <c r="O29" s="15" t="s">
        <v>20</v>
      </c>
      <c r="P29" s="15" t="s">
        <v>78</v>
      </c>
      <c r="Q29" s="15" t="s">
        <v>78</v>
      </c>
      <c r="R29" s="15" t="s">
        <v>72</v>
      </c>
      <c r="S29" s="15" t="s">
        <v>72</v>
      </c>
      <c r="T29" s="15" t="s">
        <v>72</v>
      </c>
      <c r="U29" s="15" t="s">
        <v>117</v>
      </c>
    </row>
    <row r="30" customFormat="false" ht="15" hidden="false" customHeight="true" outlineLevel="0" collapsed="false">
      <c r="A30" s="15" t="s">
        <v>174</v>
      </c>
      <c r="B30" s="15" t="s">
        <v>162</v>
      </c>
      <c r="C30" s="15" t="s">
        <v>175</v>
      </c>
      <c r="D30" s="15" t="s">
        <v>176</v>
      </c>
      <c r="E30" s="15" t="s">
        <v>71</v>
      </c>
      <c r="F30" s="15" t="s">
        <v>71</v>
      </c>
      <c r="G30" s="15" t="s">
        <v>72</v>
      </c>
      <c r="H30" s="15"/>
      <c r="I30" s="15" t="s">
        <v>73</v>
      </c>
      <c r="J30" s="15" t="s">
        <v>177</v>
      </c>
      <c r="K30" s="15" t="s">
        <v>178</v>
      </c>
      <c r="L30" s="15"/>
      <c r="M30" s="15" t="s">
        <v>77</v>
      </c>
      <c r="N30" s="15" t="s">
        <v>72</v>
      </c>
      <c r="O30" s="15" t="s">
        <v>20</v>
      </c>
      <c r="P30" s="15" t="s">
        <v>78</v>
      </c>
      <c r="Q30" s="15" t="s">
        <v>78</v>
      </c>
      <c r="R30" s="15" t="s">
        <v>72</v>
      </c>
      <c r="S30" s="15" t="s">
        <v>72</v>
      </c>
      <c r="T30" s="15" t="s">
        <v>72</v>
      </c>
      <c r="U30" s="15" t="s">
        <v>117</v>
      </c>
    </row>
    <row r="31" customFormat="false" ht="15" hidden="false" customHeight="true" outlineLevel="0" collapsed="false">
      <c r="A31" s="15" t="s">
        <v>179</v>
      </c>
      <c r="B31" s="15" t="s">
        <v>162</v>
      </c>
      <c r="C31" s="15" t="s">
        <v>180</v>
      </c>
      <c r="D31" s="15" t="s">
        <v>181</v>
      </c>
      <c r="E31" s="15" t="s">
        <v>71</v>
      </c>
      <c r="F31" s="15" t="s">
        <v>71</v>
      </c>
      <c r="G31" s="15" t="s">
        <v>72</v>
      </c>
      <c r="H31" s="15"/>
      <c r="I31" s="15" t="s">
        <v>73</v>
      </c>
      <c r="J31" s="15" t="s">
        <v>182</v>
      </c>
      <c r="K31" s="15"/>
      <c r="L31" s="15"/>
      <c r="M31" s="15" t="s">
        <v>77</v>
      </c>
      <c r="N31" s="15" t="s">
        <v>72</v>
      </c>
      <c r="O31" s="15" t="s">
        <v>20</v>
      </c>
      <c r="P31" s="15" t="s">
        <v>78</v>
      </c>
      <c r="Q31" s="15" t="s">
        <v>78</v>
      </c>
      <c r="R31" s="15" t="s">
        <v>72</v>
      </c>
      <c r="S31" s="15" t="s">
        <v>72</v>
      </c>
      <c r="T31" s="15" t="s">
        <v>72</v>
      </c>
      <c r="U31" s="15" t="s">
        <v>117</v>
      </c>
    </row>
    <row r="32" customFormat="false" ht="15" hidden="false" customHeight="true" outlineLevel="0" collapsed="false">
      <c r="A32" s="15" t="s">
        <v>183</v>
      </c>
      <c r="B32" s="15" t="s">
        <v>162</v>
      </c>
      <c r="C32" s="15" t="s">
        <v>184</v>
      </c>
      <c r="D32" s="15" t="s">
        <v>185</v>
      </c>
      <c r="E32" s="15" t="s">
        <v>71</v>
      </c>
      <c r="F32" s="15" t="s">
        <v>71</v>
      </c>
      <c r="G32" s="15" t="s">
        <v>72</v>
      </c>
      <c r="H32" s="15"/>
      <c r="I32" s="15" t="s">
        <v>73</v>
      </c>
      <c r="J32" s="15" t="s">
        <v>186</v>
      </c>
      <c r="K32" s="15"/>
      <c r="L32" s="15"/>
      <c r="M32" s="15" t="s">
        <v>77</v>
      </c>
      <c r="N32" s="15" t="s">
        <v>72</v>
      </c>
      <c r="O32" s="15" t="s">
        <v>20</v>
      </c>
      <c r="P32" s="15" t="s">
        <v>78</v>
      </c>
      <c r="Q32" s="15" t="s">
        <v>78</v>
      </c>
      <c r="R32" s="15" t="s">
        <v>72</v>
      </c>
      <c r="S32" s="15" t="s">
        <v>72</v>
      </c>
      <c r="T32" s="15" t="s">
        <v>72</v>
      </c>
      <c r="U32" s="15" t="s">
        <v>117</v>
      </c>
    </row>
    <row r="33" customFormat="false" ht="15" hidden="false" customHeight="true" outlineLevel="0" collapsed="false">
      <c r="A33" s="15" t="s">
        <v>187</v>
      </c>
      <c r="B33" s="15" t="s">
        <v>162</v>
      </c>
      <c r="C33" s="15" t="s">
        <v>188</v>
      </c>
      <c r="D33" s="15" t="s">
        <v>189</v>
      </c>
      <c r="E33" s="15" t="s">
        <v>71</v>
      </c>
      <c r="F33" s="15" t="s">
        <v>71</v>
      </c>
      <c r="G33" s="15" t="s">
        <v>72</v>
      </c>
      <c r="H33" s="15"/>
      <c r="I33" s="15" t="s">
        <v>73</v>
      </c>
      <c r="J33" s="15" t="s">
        <v>190</v>
      </c>
      <c r="K33" s="15"/>
      <c r="L33" s="15"/>
      <c r="M33" s="15" t="s">
        <v>77</v>
      </c>
      <c r="N33" s="15" t="s">
        <v>72</v>
      </c>
      <c r="O33" s="15" t="s">
        <v>20</v>
      </c>
      <c r="P33" s="15" t="s">
        <v>78</v>
      </c>
      <c r="Q33" s="15" t="s">
        <v>78</v>
      </c>
      <c r="R33" s="15" t="s">
        <v>72</v>
      </c>
      <c r="S33" s="15" t="s">
        <v>72</v>
      </c>
      <c r="T33" s="15" t="s">
        <v>72</v>
      </c>
      <c r="U33" s="15" t="s">
        <v>117</v>
      </c>
    </row>
    <row r="34" customFormat="false" ht="15" hidden="false" customHeight="true" outlineLevel="0" collapsed="false">
      <c r="A34" s="15" t="s">
        <v>191</v>
      </c>
      <c r="B34" s="15" t="s">
        <v>162</v>
      </c>
      <c r="C34" s="15" t="s">
        <v>192</v>
      </c>
      <c r="D34" s="15" t="s">
        <v>193</v>
      </c>
      <c r="E34" s="15" t="s">
        <v>71</v>
      </c>
      <c r="F34" s="15" t="s">
        <v>71</v>
      </c>
      <c r="G34" s="15" t="s">
        <v>72</v>
      </c>
      <c r="H34" s="15"/>
      <c r="I34" s="15" t="s">
        <v>73</v>
      </c>
      <c r="J34" s="15" t="s">
        <v>194</v>
      </c>
      <c r="K34" s="15" t="s">
        <v>195</v>
      </c>
      <c r="L34" s="15"/>
      <c r="M34" s="15" t="s">
        <v>77</v>
      </c>
      <c r="N34" s="15" t="s">
        <v>72</v>
      </c>
      <c r="O34" s="15" t="s">
        <v>20</v>
      </c>
      <c r="P34" s="15" t="s">
        <v>78</v>
      </c>
      <c r="Q34" s="15" t="s">
        <v>78</v>
      </c>
      <c r="R34" s="15" t="s">
        <v>72</v>
      </c>
      <c r="S34" s="15" t="s">
        <v>72</v>
      </c>
      <c r="T34" s="15" t="s">
        <v>72</v>
      </c>
      <c r="U34" s="15" t="s">
        <v>117</v>
      </c>
    </row>
    <row r="35" customFormat="false" ht="15" hidden="false" customHeight="true" outlineLevel="0" collapsed="false">
      <c r="A35" s="15" t="s">
        <v>196</v>
      </c>
      <c r="B35" s="15" t="s">
        <v>162</v>
      </c>
      <c r="C35" s="15" t="s">
        <v>197</v>
      </c>
      <c r="D35" s="15" t="s">
        <v>198</v>
      </c>
      <c r="E35" s="15" t="s">
        <v>71</v>
      </c>
      <c r="F35" s="15" t="s">
        <v>71</v>
      </c>
      <c r="G35" s="15" t="s">
        <v>72</v>
      </c>
      <c r="H35" s="15"/>
      <c r="I35" s="15" t="s">
        <v>73</v>
      </c>
      <c r="J35" s="15" t="s">
        <v>199</v>
      </c>
      <c r="K35" s="15"/>
      <c r="L35" s="15"/>
      <c r="M35" s="15" t="s">
        <v>77</v>
      </c>
      <c r="N35" s="15" t="s">
        <v>72</v>
      </c>
      <c r="O35" s="15" t="s">
        <v>20</v>
      </c>
      <c r="P35" s="15" t="s">
        <v>78</v>
      </c>
      <c r="Q35" s="15" t="s">
        <v>78</v>
      </c>
      <c r="R35" s="15" t="s">
        <v>72</v>
      </c>
      <c r="S35" s="15" t="s">
        <v>72</v>
      </c>
      <c r="T35" s="15" t="s">
        <v>72</v>
      </c>
      <c r="U35" s="15" t="s">
        <v>117</v>
      </c>
    </row>
    <row r="36" customFormat="false" ht="15" hidden="false" customHeight="true" outlineLevel="0" collapsed="false">
      <c r="A36" s="15" t="s">
        <v>200</v>
      </c>
      <c r="B36" s="15" t="s">
        <v>162</v>
      </c>
      <c r="C36" s="15" t="s">
        <v>201</v>
      </c>
      <c r="D36" s="15" t="s">
        <v>202</v>
      </c>
      <c r="E36" s="15" t="s">
        <v>71</v>
      </c>
      <c r="F36" s="15" t="s">
        <v>71</v>
      </c>
      <c r="G36" s="15" t="s">
        <v>72</v>
      </c>
      <c r="H36" s="15"/>
      <c r="I36" s="15" t="s">
        <v>73</v>
      </c>
      <c r="J36" s="15" t="s">
        <v>203</v>
      </c>
      <c r="K36" s="15"/>
      <c r="L36" s="15"/>
      <c r="M36" s="15" t="s">
        <v>77</v>
      </c>
      <c r="N36" s="15" t="s">
        <v>72</v>
      </c>
      <c r="O36" s="15" t="s">
        <v>20</v>
      </c>
      <c r="P36" s="15" t="s">
        <v>78</v>
      </c>
      <c r="Q36" s="15" t="s">
        <v>78</v>
      </c>
      <c r="R36" s="15" t="s">
        <v>72</v>
      </c>
      <c r="S36" s="15" t="s">
        <v>72</v>
      </c>
      <c r="T36" s="15" t="s">
        <v>72</v>
      </c>
      <c r="U36" s="15" t="s">
        <v>117</v>
      </c>
    </row>
    <row r="37" customFormat="false" ht="15" hidden="false" customHeight="true" outlineLevel="0" collapsed="false">
      <c r="A37" s="15" t="s">
        <v>204</v>
      </c>
      <c r="B37" s="15" t="s">
        <v>205</v>
      </c>
      <c r="C37" s="15" t="s">
        <v>206</v>
      </c>
      <c r="D37" s="15" t="s">
        <v>207</v>
      </c>
      <c r="E37" s="15" t="s">
        <v>71</v>
      </c>
      <c r="F37" s="15" t="s">
        <v>71</v>
      </c>
      <c r="G37" s="15" t="s">
        <v>72</v>
      </c>
      <c r="H37" s="15"/>
      <c r="I37" s="15" t="s">
        <v>73</v>
      </c>
      <c r="J37" s="15" t="s">
        <v>208</v>
      </c>
      <c r="K37" s="15" t="s">
        <v>209</v>
      </c>
      <c r="L37" s="15"/>
      <c r="M37" s="15" t="s">
        <v>77</v>
      </c>
      <c r="N37" s="15" t="s">
        <v>72</v>
      </c>
      <c r="O37" s="15" t="s">
        <v>20</v>
      </c>
      <c r="P37" s="15" t="s">
        <v>78</v>
      </c>
      <c r="Q37" s="15" t="s">
        <v>78</v>
      </c>
      <c r="R37" s="15" t="s">
        <v>72</v>
      </c>
      <c r="S37" s="15" t="s">
        <v>72</v>
      </c>
      <c r="T37" s="15" t="s">
        <v>72</v>
      </c>
      <c r="U37" s="15" t="s">
        <v>117</v>
      </c>
    </row>
    <row r="38" customFormat="false" ht="15" hidden="false" customHeight="true" outlineLevel="0" collapsed="false">
      <c r="A38" s="15" t="s">
        <v>210</v>
      </c>
      <c r="B38" s="15" t="s">
        <v>205</v>
      </c>
      <c r="C38" s="15" t="s">
        <v>211</v>
      </c>
      <c r="D38" s="15" t="s">
        <v>212</v>
      </c>
      <c r="E38" s="15" t="s">
        <v>71</v>
      </c>
      <c r="F38" s="15" t="s">
        <v>71</v>
      </c>
      <c r="G38" s="15" t="s">
        <v>72</v>
      </c>
      <c r="H38" s="15"/>
      <c r="I38" s="15" t="s">
        <v>73</v>
      </c>
      <c r="J38" s="15" t="s">
        <v>213</v>
      </c>
      <c r="K38" s="15" t="s">
        <v>214</v>
      </c>
      <c r="L38" s="15"/>
      <c r="M38" s="15" t="s">
        <v>77</v>
      </c>
      <c r="N38" s="15" t="s">
        <v>72</v>
      </c>
      <c r="O38" s="15" t="s">
        <v>20</v>
      </c>
      <c r="P38" s="15" t="s">
        <v>78</v>
      </c>
      <c r="Q38" s="15" t="s">
        <v>78</v>
      </c>
      <c r="R38" s="15" t="s">
        <v>72</v>
      </c>
      <c r="S38" s="15" t="s">
        <v>72</v>
      </c>
      <c r="T38" s="15" t="s">
        <v>72</v>
      </c>
      <c r="U38" s="15" t="s">
        <v>117</v>
      </c>
    </row>
    <row r="39" customFormat="false" ht="15" hidden="false" customHeight="true" outlineLevel="0" collapsed="false">
      <c r="A39" s="15" t="s">
        <v>215</v>
      </c>
      <c r="B39" s="15" t="s">
        <v>205</v>
      </c>
      <c r="C39" s="15" t="s">
        <v>216</v>
      </c>
      <c r="D39" s="15" t="s">
        <v>217</v>
      </c>
      <c r="E39" s="15" t="s">
        <v>71</v>
      </c>
      <c r="F39" s="15" t="s">
        <v>71</v>
      </c>
      <c r="G39" s="15" t="s">
        <v>72</v>
      </c>
      <c r="H39" s="15"/>
      <c r="I39" s="15" t="s">
        <v>73</v>
      </c>
      <c r="J39" s="15" t="s">
        <v>218</v>
      </c>
      <c r="K39" s="15"/>
      <c r="L39" s="15"/>
      <c r="M39" s="15" t="s">
        <v>77</v>
      </c>
      <c r="N39" s="15" t="s">
        <v>72</v>
      </c>
      <c r="O39" s="15" t="s">
        <v>20</v>
      </c>
      <c r="P39" s="15" t="s">
        <v>78</v>
      </c>
      <c r="Q39" s="15" t="s">
        <v>78</v>
      </c>
      <c r="R39" s="15" t="s">
        <v>72</v>
      </c>
      <c r="S39" s="15" t="s">
        <v>72</v>
      </c>
      <c r="T39" s="15" t="s">
        <v>72</v>
      </c>
      <c r="U39" s="15" t="s">
        <v>117</v>
      </c>
    </row>
    <row r="40" customFormat="false" ht="15" hidden="false" customHeight="true" outlineLevel="0" collapsed="false">
      <c r="A40" s="15" t="s">
        <v>219</v>
      </c>
      <c r="B40" s="15" t="s">
        <v>205</v>
      </c>
      <c r="C40" s="15" t="s">
        <v>220</v>
      </c>
      <c r="D40" s="15" t="s">
        <v>221</v>
      </c>
      <c r="E40" s="15" t="s">
        <v>71</v>
      </c>
      <c r="F40" s="15" t="s">
        <v>71</v>
      </c>
      <c r="G40" s="15" t="s">
        <v>72</v>
      </c>
      <c r="H40" s="15"/>
      <c r="I40" s="15" t="s">
        <v>73</v>
      </c>
      <c r="J40" s="15" t="s">
        <v>222</v>
      </c>
      <c r="K40" s="15" t="s">
        <v>223</v>
      </c>
      <c r="L40" s="15"/>
      <c r="M40" s="15" t="s">
        <v>77</v>
      </c>
      <c r="N40" s="15" t="s">
        <v>72</v>
      </c>
      <c r="O40" s="15" t="s">
        <v>20</v>
      </c>
      <c r="P40" s="15" t="s">
        <v>78</v>
      </c>
      <c r="Q40" s="15" t="s">
        <v>78</v>
      </c>
      <c r="R40" s="15" t="s">
        <v>72</v>
      </c>
      <c r="S40" s="15" t="s">
        <v>72</v>
      </c>
      <c r="T40" s="15" t="s">
        <v>72</v>
      </c>
      <c r="U40" s="15" t="s">
        <v>117</v>
      </c>
    </row>
    <row r="41" customFormat="false" ht="15" hidden="false" customHeight="true" outlineLevel="0" collapsed="false">
      <c r="A41" s="15" t="s">
        <v>224</v>
      </c>
      <c r="B41" s="15" t="s">
        <v>205</v>
      </c>
      <c r="C41" s="15" t="s">
        <v>225</v>
      </c>
      <c r="D41" s="15" t="s">
        <v>226</v>
      </c>
      <c r="E41" s="15" t="s">
        <v>71</v>
      </c>
      <c r="F41" s="15" t="s">
        <v>71</v>
      </c>
      <c r="G41" s="15" t="s">
        <v>72</v>
      </c>
      <c r="H41" s="15"/>
      <c r="I41" s="15" t="s">
        <v>73</v>
      </c>
      <c r="J41" s="15" t="s">
        <v>227</v>
      </c>
      <c r="K41" s="15"/>
      <c r="L41" s="15"/>
      <c r="M41" s="15" t="s">
        <v>77</v>
      </c>
      <c r="N41" s="15" t="s">
        <v>72</v>
      </c>
      <c r="O41" s="15" t="s">
        <v>20</v>
      </c>
      <c r="P41" s="15" t="s">
        <v>78</v>
      </c>
      <c r="Q41" s="15" t="s">
        <v>78</v>
      </c>
      <c r="R41" s="15" t="s">
        <v>72</v>
      </c>
      <c r="S41" s="15" t="s">
        <v>72</v>
      </c>
      <c r="T41" s="15" t="s">
        <v>72</v>
      </c>
      <c r="U41" s="15" t="s">
        <v>117</v>
      </c>
    </row>
    <row r="42" customFormat="false" ht="15" hidden="false" customHeight="true" outlineLevel="0" collapsed="false">
      <c r="A42" s="15" t="s">
        <v>228</v>
      </c>
      <c r="B42" s="15" t="s">
        <v>162</v>
      </c>
      <c r="C42" s="15" t="s">
        <v>229</v>
      </c>
      <c r="D42" s="15" t="s">
        <v>230</v>
      </c>
      <c r="E42" s="15" t="s">
        <v>71</v>
      </c>
      <c r="F42" s="15" t="s">
        <v>71</v>
      </c>
      <c r="G42" s="15" t="s">
        <v>72</v>
      </c>
      <c r="H42" s="15"/>
      <c r="I42" s="15" t="s">
        <v>73</v>
      </c>
      <c r="J42" s="15" t="s">
        <v>231</v>
      </c>
      <c r="K42" s="15"/>
      <c r="L42" s="15"/>
      <c r="M42" s="15" t="s">
        <v>77</v>
      </c>
      <c r="N42" s="15" t="s">
        <v>72</v>
      </c>
      <c r="O42" s="15" t="s">
        <v>20</v>
      </c>
      <c r="P42" s="15" t="s">
        <v>78</v>
      </c>
      <c r="Q42" s="15" t="s">
        <v>78</v>
      </c>
      <c r="R42" s="15" t="s">
        <v>72</v>
      </c>
      <c r="S42" s="15" t="s">
        <v>72</v>
      </c>
      <c r="T42" s="15" t="s">
        <v>72</v>
      </c>
      <c r="U42" s="15" t="s">
        <v>117</v>
      </c>
    </row>
    <row r="43" customFormat="false" ht="15" hidden="false" customHeight="true" outlineLevel="0" collapsed="false">
      <c r="A43" s="15" t="s">
        <v>232</v>
      </c>
      <c r="B43" s="15" t="s">
        <v>162</v>
      </c>
      <c r="C43" s="15" t="s">
        <v>233</v>
      </c>
      <c r="D43" s="15" t="s">
        <v>234</v>
      </c>
      <c r="E43" s="15" t="s">
        <v>71</v>
      </c>
      <c r="F43" s="15" t="s">
        <v>71</v>
      </c>
      <c r="G43" s="15" t="s">
        <v>72</v>
      </c>
      <c r="H43" s="15"/>
      <c r="I43" s="15" t="s">
        <v>73</v>
      </c>
      <c r="J43" s="15" t="s">
        <v>235</v>
      </c>
      <c r="K43" s="15"/>
      <c r="L43" s="15"/>
      <c r="M43" s="15" t="s">
        <v>77</v>
      </c>
      <c r="N43" s="15" t="s">
        <v>72</v>
      </c>
      <c r="O43" s="15" t="s">
        <v>20</v>
      </c>
      <c r="P43" s="15" t="s">
        <v>78</v>
      </c>
      <c r="Q43" s="15" t="s">
        <v>78</v>
      </c>
      <c r="R43" s="15" t="s">
        <v>72</v>
      </c>
      <c r="S43" s="15" t="s">
        <v>72</v>
      </c>
      <c r="T43" s="15" t="s">
        <v>72</v>
      </c>
      <c r="U43" s="15" t="s">
        <v>117</v>
      </c>
    </row>
    <row r="44" customFormat="false" ht="15" hidden="false" customHeight="true" outlineLevel="0" collapsed="false">
      <c r="A44" s="15" t="s">
        <v>236</v>
      </c>
      <c r="B44" s="15" t="s">
        <v>237</v>
      </c>
      <c r="C44" s="15" t="s">
        <v>135</v>
      </c>
      <c r="D44" s="15" t="s">
        <v>238</v>
      </c>
      <c r="E44" s="15" t="s">
        <v>71</v>
      </c>
      <c r="F44" s="15" t="s">
        <v>71</v>
      </c>
      <c r="G44" s="15" t="s">
        <v>72</v>
      </c>
      <c r="H44" s="15"/>
      <c r="I44" s="15" t="s">
        <v>73</v>
      </c>
      <c r="J44" s="15"/>
      <c r="K44" s="15"/>
      <c r="L44" s="15" t="s">
        <v>239</v>
      </c>
      <c r="M44" s="15" t="s">
        <v>240</v>
      </c>
      <c r="N44" s="15" t="s">
        <v>72</v>
      </c>
      <c r="O44" s="16" t="s">
        <v>241</v>
      </c>
      <c r="P44" s="15" t="s">
        <v>78</v>
      </c>
      <c r="Q44" s="15" t="s">
        <v>78</v>
      </c>
      <c r="R44" s="15" t="s">
        <v>72</v>
      </c>
      <c r="S44" s="15" t="s">
        <v>72</v>
      </c>
      <c r="T44" s="15" t="s">
        <v>72</v>
      </c>
      <c r="U44" s="15" t="s">
        <v>242</v>
      </c>
    </row>
    <row r="45" customFormat="false" ht="15" hidden="false" customHeight="true" outlineLevel="0" collapsed="false">
      <c r="A45" s="15" t="s">
        <v>243</v>
      </c>
      <c r="B45" s="15" t="s">
        <v>162</v>
      </c>
      <c r="C45" s="15" t="s">
        <v>244</v>
      </c>
      <c r="D45" s="15" t="s">
        <v>245</v>
      </c>
      <c r="E45" s="15" t="s">
        <v>71</v>
      </c>
      <c r="F45" s="15" t="s">
        <v>71</v>
      </c>
      <c r="G45" s="15" t="s">
        <v>72</v>
      </c>
      <c r="H45" s="15"/>
      <c r="I45" s="15" t="s">
        <v>73</v>
      </c>
      <c r="J45" s="15"/>
      <c r="K45" s="15"/>
      <c r="L45" s="15" t="s">
        <v>246</v>
      </c>
      <c r="M45" s="15" t="s">
        <v>240</v>
      </c>
      <c r="N45" s="15" t="s">
        <v>72</v>
      </c>
      <c r="O45" s="15" t="s">
        <v>247</v>
      </c>
      <c r="P45" s="15" t="s">
        <v>78</v>
      </c>
      <c r="Q45" s="15"/>
      <c r="R45" s="15" t="s">
        <v>72</v>
      </c>
      <c r="S45" s="15" t="s">
        <v>72</v>
      </c>
      <c r="T45" s="15" t="s">
        <v>72</v>
      </c>
      <c r="U45" s="15" t="s">
        <v>248</v>
      </c>
    </row>
    <row r="46" customFormat="false" ht="15" hidden="false" customHeight="true" outlineLevel="0" collapsed="false">
      <c r="A46" s="15" t="s">
        <v>249</v>
      </c>
      <c r="B46" s="15" t="s">
        <v>237</v>
      </c>
      <c r="C46" s="15" t="s">
        <v>250</v>
      </c>
      <c r="D46" s="15" t="s">
        <v>251</v>
      </c>
      <c r="E46" s="15" t="s">
        <v>71</v>
      </c>
      <c r="F46" s="15" t="s">
        <v>71</v>
      </c>
      <c r="G46" s="15" t="s">
        <v>72</v>
      </c>
      <c r="H46" s="15"/>
      <c r="I46" s="15" t="s">
        <v>252</v>
      </c>
      <c r="J46" s="15" t="s">
        <v>253</v>
      </c>
      <c r="K46" s="15" t="s">
        <v>254</v>
      </c>
      <c r="L46" s="15"/>
      <c r="M46" s="15" t="s">
        <v>77</v>
      </c>
      <c r="N46" s="15" t="s">
        <v>72</v>
      </c>
      <c r="O46" s="15" t="s">
        <v>20</v>
      </c>
      <c r="P46" s="15" t="s">
        <v>78</v>
      </c>
      <c r="Q46" s="15" t="s">
        <v>78</v>
      </c>
      <c r="R46" s="15" t="s">
        <v>72</v>
      </c>
      <c r="S46" s="15" t="s">
        <v>72</v>
      </c>
      <c r="T46" s="15" t="s">
        <v>72</v>
      </c>
      <c r="U46" s="15" t="s">
        <v>255</v>
      </c>
    </row>
    <row r="47" customFormat="false" ht="15" hidden="false" customHeight="true" outlineLevel="0" collapsed="false">
      <c r="A47" s="15" t="s">
        <v>256</v>
      </c>
      <c r="B47" s="15" t="s">
        <v>237</v>
      </c>
      <c r="C47" s="15" t="s">
        <v>250</v>
      </c>
      <c r="D47" s="15" t="s">
        <v>257</v>
      </c>
      <c r="E47" s="15" t="s">
        <v>71</v>
      </c>
      <c r="F47" s="15" t="s">
        <v>71</v>
      </c>
      <c r="G47" s="15" t="s">
        <v>72</v>
      </c>
      <c r="H47" s="15"/>
      <c r="I47" s="15" t="s">
        <v>252</v>
      </c>
      <c r="J47" s="15" t="s">
        <v>258</v>
      </c>
      <c r="K47" s="15" t="s">
        <v>259</v>
      </c>
      <c r="L47" s="15"/>
      <c r="M47" s="15" t="s">
        <v>77</v>
      </c>
      <c r="N47" s="15" t="s">
        <v>72</v>
      </c>
      <c r="O47" s="15" t="s">
        <v>20</v>
      </c>
      <c r="P47" s="15" t="s">
        <v>78</v>
      </c>
      <c r="Q47" s="15" t="s">
        <v>78</v>
      </c>
      <c r="R47" s="15" t="s">
        <v>72</v>
      </c>
      <c r="S47" s="15" t="s">
        <v>72</v>
      </c>
      <c r="T47" s="15" t="s">
        <v>72</v>
      </c>
      <c r="U47" s="15" t="s">
        <v>255</v>
      </c>
    </row>
    <row r="48" customFormat="false" ht="15" hidden="false" customHeight="true" outlineLevel="0" collapsed="false">
      <c r="A48" s="15" t="s">
        <v>260</v>
      </c>
      <c r="B48" s="15" t="s">
        <v>237</v>
      </c>
      <c r="C48" s="15" t="s">
        <v>250</v>
      </c>
      <c r="D48" s="15" t="s">
        <v>261</v>
      </c>
      <c r="E48" s="15" t="s">
        <v>71</v>
      </c>
      <c r="F48" s="15" t="s">
        <v>71</v>
      </c>
      <c r="G48" s="15" t="s">
        <v>72</v>
      </c>
      <c r="H48" s="15"/>
      <c r="I48" s="15" t="s">
        <v>252</v>
      </c>
      <c r="J48" s="15" t="s">
        <v>262</v>
      </c>
      <c r="K48" s="15" t="s">
        <v>263</v>
      </c>
      <c r="L48" s="15"/>
      <c r="M48" s="15" t="s">
        <v>77</v>
      </c>
      <c r="N48" s="15" t="s">
        <v>72</v>
      </c>
      <c r="O48" s="15" t="s">
        <v>20</v>
      </c>
      <c r="P48" s="15" t="s">
        <v>78</v>
      </c>
      <c r="Q48" s="15" t="s">
        <v>78</v>
      </c>
      <c r="R48" s="15" t="s">
        <v>72</v>
      </c>
      <c r="S48" s="15" t="s">
        <v>72</v>
      </c>
      <c r="T48" s="15" t="s">
        <v>72</v>
      </c>
      <c r="U48" s="15" t="s">
        <v>255</v>
      </c>
    </row>
    <row r="49" customFormat="false" ht="15" hidden="false" customHeight="true" outlineLevel="0" collapsed="false">
      <c r="A49" s="15" t="s">
        <v>264</v>
      </c>
      <c r="B49" s="15" t="s">
        <v>237</v>
      </c>
      <c r="C49" s="15" t="s">
        <v>250</v>
      </c>
      <c r="D49" s="15" t="s">
        <v>265</v>
      </c>
      <c r="E49" s="15" t="s">
        <v>71</v>
      </c>
      <c r="F49" s="15" t="s">
        <v>71</v>
      </c>
      <c r="G49" s="15" t="s">
        <v>72</v>
      </c>
      <c r="H49" s="15"/>
      <c r="I49" s="15" t="s">
        <v>252</v>
      </c>
      <c r="J49" s="15" t="s">
        <v>266</v>
      </c>
      <c r="K49" s="15"/>
      <c r="L49" s="15"/>
      <c r="M49" s="15" t="s">
        <v>77</v>
      </c>
      <c r="N49" s="15" t="s">
        <v>72</v>
      </c>
      <c r="O49" s="15" t="s">
        <v>20</v>
      </c>
      <c r="P49" s="15" t="s">
        <v>78</v>
      </c>
      <c r="Q49" s="15" t="s">
        <v>78</v>
      </c>
      <c r="R49" s="15" t="s">
        <v>72</v>
      </c>
      <c r="S49" s="15" t="s">
        <v>72</v>
      </c>
      <c r="T49" s="15" t="s">
        <v>72</v>
      </c>
      <c r="U49" s="15" t="s">
        <v>255</v>
      </c>
    </row>
    <row r="50" customFormat="false" ht="15" hidden="false" customHeight="true" outlineLevel="0" collapsed="false">
      <c r="A50" s="15" t="s">
        <v>267</v>
      </c>
      <c r="B50" s="15" t="s">
        <v>237</v>
      </c>
      <c r="C50" s="15" t="s">
        <v>250</v>
      </c>
      <c r="D50" s="15" t="s">
        <v>268</v>
      </c>
      <c r="E50" s="15" t="s">
        <v>71</v>
      </c>
      <c r="F50" s="15" t="s">
        <v>71</v>
      </c>
      <c r="G50" s="15" t="s">
        <v>72</v>
      </c>
      <c r="H50" s="15"/>
      <c r="I50" s="15" t="s">
        <v>252</v>
      </c>
      <c r="J50" s="15" t="s">
        <v>269</v>
      </c>
      <c r="K50" s="15"/>
      <c r="L50" s="15"/>
      <c r="M50" s="15" t="s">
        <v>77</v>
      </c>
      <c r="N50" s="15" t="s">
        <v>72</v>
      </c>
      <c r="O50" s="15" t="s">
        <v>20</v>
      </c>
      <c r="P50" s="15" t="s">
        <v>78</v>
      </c>
      <c r="Q50" s="15" t="s">
        <v>78</v>
      </c>
      <c r="R50" s="15" t="s">
        <v>72</v>
      </c>
      <c r="S50" s="15" t="s">
        <v>72</v>
      </c>
      <c r="T50" s="15" t="s">
        <v>72</v>
      </c>
      <c r="U50" s="15" t="s">
        <v>255</v>
      </c>
    </row>
    <row r="51" customFormat="false" ht="15" hidden="false" customHeight="true" outlineLevel="0" collapsed="false">
      <c r="A51" s="15" t="s">
        <v>270</v>
      </c>
      <c r="B51" s="15" t="s">
        <v>237</v>
      </c>
      <c r="C51" s="15" t="s">
        <v>250</v>
      </c>
      <c r="D51" s="15" t="s">
        <v>271</v>
      </c>
      <c r="E51" s="15" t="s">
        <v>71</v>
      </c>
      <c r="F51" s="15" t="s">
        <v>71</v>
      </c>
      <c r="G51" s="15" t="s">
        <v>72</v>
      </c>
      <c r="H51" s="15"/>
      <c r="I51" s="15" t="s">
        <v>252</v>
      </c>
      <c r="J51" s="15" t="s">
        <v>272</v>
      </c>
      <c r="K51" s="15" t="s">
        <v>273</v>
      </c>
      <c r="L51" s="15"/>
      <c r="M51" s="15" t="s">
        <v>77</v>
      </c>
      <c r="N51" s="15" t="s">
        <v>72</v>
      </c>
      <c r="O51" s="15" t="s">
        <v>20</v>
      </c>
      <c r="P51" s="15" t="s">
        <v>78</v>
      </c>
      <c r="Q51" s="15" t="s">
        <v>78</v>
      </c>
      <c r="R51" s="15" t="s">
        <v>72</v>
      </c>
      <c r="S51" s="15" t="s">
        <v>72</v>
      </c>
      <c r="T51" s="15" t="s">
        <v>72</v>
      </c>
      <c r="U51" s="15" t="s">
        <v>255</v>
      </c>
    </row>
    <row r="52" customFormat="false" ht="15" hidden="false" customHeight="true" outlineLevel="0" collapsed="false">
      <c r="A52" s="15" t="s">
        <v>274</v>
      </c>
      <c r="B52" s="15" t="s">
        <v>237</v>
      </c>
      <c r="C52" s="15" t="s">
        <v>250</v>
      </c>
      <c r="D52" s="15" t="s">
        <v>275</v>
      </c>
      <c r="E52" s="15" t="s">
        <v>71</v>
      </c>
      <c r="F52" s="15" t="s">
        <v>71</v>
      </c>
      <c r="G52" s="15" t="s">
        <v>72</v>
      </c>
      <c r="H52" s="15"/>
      <c r="I52" s="15" t="s">
        <v>252</v>
      </c>
      <c r="J52" s="15" t="s">
        <v>276</v>
      </c>
      <c r="K52" s="15"/>
      <c r="L52" s="15"/>
      <c r="M52" s="15" t="s">
        <v>77</v>
      </c>
      <c r="N52" s="15" t="s">
        <v>72</v>
      </c>
      <c r="O52" s="15" t="s">
        <v>20</v>
      </c>
      <c r="P52" s="15" t="s">
        <v>78</v>
      </c>
      <c r="Q52" s="15" t="s">
        <v>78</v>
      </c>
      <c r="R52" s="15" t="s">
        <v>72</v>
      </c>
      <c r="S52" s="15" t="s">
        <v>72</v>
      </c>
      <c r="T52" s="15" t="s">
        <v>72</v>
      </c>
      <c r="U52" s="15" t="s">
        <v>255</v>
      </c>
    </row>
    <row r="53" customFormat="false" ht="15" hidden="false" customHeight="true" outlineLevel="0" collapsed="false">
      <c r="A53" s="15" t="s">
        <v>277</v>
      </c>
      <c r="B53" s="15" t="s">
        <v>237</v>
      </c>
      <c r="C53" s="15" t="s">
        <v>250</v>
      </c>
      <c r="D53" s="15" t="s">
        <v>278</v>
      </c>
      <c r="E53" s="15" t="s">
        <v>71</v>
      </c>
      <c r="F53" s="15" t="s">
        <v>71</v>
      </c>
      <c r="G53" s="15" t="s">
        <v>72</v>
      </c>
      <c r="H53" s="15"/>
      <c r="I53" s="15" t="s">
        <v>252</v>
      </c>
      <c r="J53" s="15" t="s">
        <v>279</v>
      </c>
      <c r="K53" s="15"/>
      <c r="L53" s="15"/>
      <c r="M53" s="15" t="s">
        <v>77</v>
      </c>
      <c r="N53" s="15" t="s">
        <v>72</v>
      </c>
      <c r="O53" s="15" t="s">
        <v>20</v>
      </c>
      <c r="P53" s="15" t="s">
        <v>78</v>
      </c>
      <c r="Q53" s="15" t="s">
        <v>78</v>
      </c>
      <c r="R53" s="15" t="s">
        <v>72</v>
      </c>
      <c r="S53" s="15" t="s">
        <v>72</v>
      </c>
      <c r="T53" s="15" t="s">
        <v>72</v>
      </c>
      <c r="U53" s="15" t="s">
        <v>255</v>
      </c>
    </row>
    <row r="54" customFormat="false" ht="15" hidden="false" customHeight="true" outlineLevel="0" collapsed="false">
      <c r="A54" s="15" t="s">
        <v>280</v>
      </c>
      <c r="B54" s="15" t="s">
        <v>237</v>
      </c>
      <c r="C54" s="15" t="s">
        <v>250</v>
      </c>
      <c r="D54" s="15" t="s">
        <v>281</v>
      </c>
      <c r="E54" s="15" t="s">
        <v>71</v>
      </c>
      <c r="F54" s="15" t="s">
        <v>71</v>
      </c>
      <c r="G54" s="15" t="s">
        <v>72</v>
      </c>
      <c r="H54" s="15"/>
      <c r="I54" s="15" t="s">
        <v>252</v>
      </c>
      <c r="J54" s="15" t="s">
        <v>282</v>
      </c>
      <c r="K54" s="15"/>
      <c r="L54" s="15"/>
      <c r="M54" s="15" t="s">
        <v>77</v>
      </c>
      <c r="N54" s="15" t="s">
        <v>72</v>
      </c>
      <c r="O54" s="15" t="s">
        <v>20</v>
      </c>
      <c r="P54" s="15" t="s">
        <v>78</v>
      </c>
      <c r="Q54" s="15" t="s">
        <v>78</v>
      </c>
      <c r="R54" s="15" t="s">
        <v>72</v>
      </c>
      <c r="S54" s="15" t="s">
        <v>72</v>
      </c>
      <c r="T54" s="15" t="s">
        <v>72</v>
      </c>
      <c r="U54" s="15" t="s">
        <v>255</v>
      </c>
    </row>
    <row r="55" customFormat="false" ht="15" hidden="false" customHeight="true" outlineLevel="0" collapsed="false">
      <c r="A55" s="15" t="s">
        <v>283</v>
      </c>
      <c r="B55" s="15" t="s">
        <v>237</v>
      </c>
      <c r="C55" s="15" t="s">
        <v>250</v>
      </c>
      <c r="D55" s="15" t="s">
        <v>284</v>
      </c>
      <c r="E55" s="15" t="s">
        <v>71</v>
      </c>
      <c r="F55" s="15" t="s">
        <v>71</v>
      </c>
      <c r="G55" s="15" t="s">
        <v>72</v>
      </c>
      <c r="H55" s="15"/>
      <c r="I55" s="15" t="s">
        <v>252</v>
      </c>
      <c r="J55" s="15" t="s">
        <v>285</v>
      </c>
      <c r="K55" s="15"/>
      <c r="L55" s="15"/>
      <c r="M55" s="15" t="s">
        <v>77</v>
      </c>
      <c r="N55" s="15" t="s">
        <v>72</v>
      </c>
      <c r="O55" s="15" t="s">
        <v>20</v>
      </c>
      <c r="P55" s="15" t="s">
        <v>78</v>
      </c>
      <c r="Q55" s="15" t="s">
        <v>78</v>
      </c>
      <c r="R55" s="15" t="s">
        <v>72</v>
      </c>
      <c r="S55" s="15" t="s">
        <v>72</v>
      </c>
      <c r="T55" s="15" t="s">
        <v>72</v>
      </c>
      <c r="U55" s="15" t="s">
        <v>255</v>
      </c>
    </row>
    <row r="56" customFormat="false" ht="15" hidden="false" customHeight="true" outlineLevel="0" collapsed="false">
      <c r="A56" s="1" t="s">
        <v>286</v>
      </c>
      <c r="B56" s="17" t="s">
        <v>237</v>
      </c>
      <c r="C56" s="1" t="s">
        <v>250</v>
      </c>
      <c r="D56" s="1" t="s">
        <v>287</v>
      </c>
      <c r="E56" s="17" t="s">
        <v>71</v>
      </c>
      <c r="F56" s="17" t="s">
        <v>71</v>
      </c>
      <c r="G56" s="17"/>
      <c r="I56" s="17" t="s">
        <v>252</v>
      </c>
      <c r="L56" s="1" t="s">
        <v>288</v>
      </c>
      <c r="M56" s="17" t="s">
        <v>240</v>
      </c>
      <c r="N56" s="17"/>
      <c r="O56" s="17" t="s">
        <v>247</v>
      </c>
      <c r="P56" s="1" t="s">
        <v>78</v>
      </c>
      <c r="Q56" s="1" t="s">
        <v>78</v>
      </c>
      <c r="R56" s="17"/>
      <c r="S56" s="17"/>
      <c r="T56" s="17"/>
      <c r="U56" s="1" t="s">
        <v>289</v>
      </c>
    </row>
    <row r="57" customFormat="false" ht="15" hidden="false" customHeight="true" outlineLevel="0" collapsed="false">
      <c r="A57" s="5" t="s">
        <v>290</v>
      </c>
      <c r="B57" s="5" t="s">
        <v>291</v>
      </c>
      <c r="C57" s="5" t="s">
        <v>292</v>
      </c>
      <c r="D57" s="5" t="s">
        <v>293</v>
      </c>
      <c r="E57" s="5" t="s">
        <v>71</v>
      </c>
      <c r="F57" s="5" t="s">
        <v>71</v>
      </c>
      <c r="G57" s="5" t="s">
        <v>72</v>
      </c>
      <c r="H57" s="5"/>
      <c r="I57" s="5" t="s">
        <v>73</v>
      </c>
      <c r="J57" s="5" t="s">
        <v>294</v>
      </c>
      <c r="K57" s="5"/>
      <c r="L57" s="5"/>
      <c r="M57" s="5" t="s">
        <v>77</v>
      </c>
      <c r="N57" s="5" t="s">
        <v>72</v>
      </c>
      <c r="O57" s="5" t="s">
        <v>20</v>
      </c>
      <c r="P57" s="5" t="s">
        <v>78</v>
      </c>
      <c r="Q57" s="5" t="s">
        <v>78</v>
      </c>
      <c r="R57" s="5" t="s">
        <v>72</v>
      </c>
      <c r="S57" s="5" t="s">
        <v>72</v>
      </c>
      <c r="T57" s="5" t="s">
        <v>72</v>
      </c>
      <c r="U57" s="5" t="s">
        <v>295</v>
      </c>
    </row>
    <row r="58" customFormat="false" ht="15" hidden="false" customHeight="true" outlineLevel="0" collapsed="false">
      <c r="A58" s="5" t="s">
        <v>296</v>
      </c>
      <c r="B58" s="5" t="s">
        <v>291</v>
      </c>
      <c r="C58" s="5" t="s">
        <v>292</v>
      </c>
      <c r="D58" s="5" t="s">
        <v>297</v>
      </c>
      <c r="E58" s="5" t="s">
        <v>71</v>
      </c>
      <c r="F58" s="5" t="s">
        <v>71</v>
      </c>
      <c r="G58" s="5" t="s">
        <v>72</v>
      </c>
      <c r="H58" s="5"/>
      <c r="I58" s="5" t="s">
        <v>73</v>
      </c>
      <c r="J58" s="5" t="s">
        <v>298</v>
      </c>
      <c r="K58" s="5"/>
      <c r="L58" s="5"/>
      <c r="M58" s="5" t="s">
        <v>77</v>
      </c>
      <c r="N58" s="5" t="s">
        <v>72</v>
      </c>
      <c r="O58" s="5" t="s">
        <v>20</v>
      </c>
      <c r="P58" s="5" t="s">
        <v>78</v>
      </c>
      <c r="Q58" s="5" t="s">
        <v>78</v>
      </c>
      <c r="R58" s="5" t="s">
        <v>72</v>
      </c>
      <c r="S58" s="5" t="s">
        <v>72</v>
      </c>
      <c r="T58" s="5" t="s">
        <v>72</v>
      </c>
      <c r="U58" s="5" t="s">
        <v>295</v>
      </c>
    </row>
    <row r="59" customFormat="false" ht="15" hidden="false" customHeight="true" outlineLevel="0" collapsed="false">
      <c r="A59" s="5" t="s">
        <v>299</v>
      </c>
      <c r="B59" s="5" t="s">
        <v>291</v>
      </c>
      <c r="C59" s="5" t="s">
        <v>292</v>
      </c>
      <c r="D59" s="5" t="s">
        <v>300</v>
      </c>
      <c r="E59" s="5" t="s">
        <v>71</v>
      </c>
      <c r="F59" s="5" t="s">
        <v>71</v>
      </c>
      <c r="G59" s="5" t="s">
        <v>72</v>
      </c>
      <c r="H59" s="5"/>
      <c r="I59" s="5" t="s">
        <v>73</v>
      </c>
      <c r="J59" s="5" t="s">
        <v>301</v>
      </c>
      <c r="K59" s="5"/>
      <c r="L59" s="5"/>
      <c r="M59" s="5" t="s">
        <v>77</v>
      </c>
      <c r="N59" s="5" t="s">
        <v>72</v>
      </c>
      <c r="O59" s="5" t="s">
        <v>20</v>
      </c>
      <c r="P59" s="5" t="s">
        <v>78</v>
      </c>
      <c r="Q59" s="5" t="s">
        <v>78</v>
      </c>
      <c r="R59" s="5" t="s">
        <v>72</v>
      </c>
      <c r="S59" s="5" t="s">
        <v>72</v>
      </c>
      <c r="T59" s="5" t="s">
        <v>72</v>
      </c>
      <c r="U59" s="5" t="s">
        <v>295</v>
      </c>
    </row>
    <row r="60" customFormat="false" ht="15" hidden="false" customHeight="true" outlineLevel="0" collapsed="false">
      <c r="A60" s="16" t="s">
        <v>302</v>
      </c>
      <c r="B60" s="16" t="s">
        <v>303</v>
      </c>
      <c r="C60" s="16" t="s">
        <v>304</v>
      </c>
      <c r="D60" s="16" t="s">
        <v>305</v>
      </c>
      <c r="E60" s="16" t="s">
        <v>71</v>
      </c>
      <c r="F60" s="16" t="s">
        <v>71</v>
      </c>
      <c r="G60" s="16" t="s">
        <v>72</v>
      </c>
      <c r="H60" s="16"/>
      <c r="I60" s="16" t="s">
        <v>73</v>
      </c>
      <c r="J60" s="16" t="s">
        <v>306</v>
      </c>
      <c r="K60" s="16"/>
      <c r="L60" s="16"/>
      <c r="M60" s="16" t="s">
        <v>77</v>
      </c>
      <c r="N60" s="16" t="s">
        <v>72</v>
      </c>
      <c r="O60" s="16" t="s">
        <v>20</v>
      </c>
      <c r="P60" s="16" t="s">
        <v>78</v>
      </c>
      <c r="Q60" s="16" t="s">
        <v>78</v>
      </c>
      <c r="R60" s="16" t="s">
        <v>72</v>
      </c>
      <c r="S60" s="16" t="s">
        <v>72</v>
      </c>
      <c r="T60" s="16" t="s">
        <v>72</v>
      </c>
      <c r="U60" s="16" t="s">
        <v>307</v>
      </c>
    </row>
    <row r="61" customFormat="false" ht="15" hidden="false" customHeight="true" outlineLevel="0" collapsed="false">
      <c r="A61" s="16" t="s">
        <v>308</v>
      </c>
      <c r="B61" s="16" t="s">
        <v>309</v>
      </c>
      <c r="C61" s="16" t="s">
        <v>310</v>
      </c>
      <c r="D61" s="16" t="s">
        <v>311</v>
      </c>
      <c r="E61" s="16" t="s">
        <v>71</v>
      </c>
      <c r="F61" s="16" t="s">
        <v>71</v>
      </c>
      <c r="G61" s="16" t="s">
        <v>72</v>
      </c>
      <c r="H61" s="16"/>
      <c r="I61" s="16" t="s">
        <v>73</v>
      </c>
      <c r="J61" s="16"/>
      <c r="K61" s="16"/>
      <c r="L61" s="16" t="s">
        <v>312</v>
      </c>
      <c r="M61" s="16" t="s">
        <v>240</v>
      </c>
      <c r="N61" s="16" t="s">
        <v>72</v>
      </c>
      <c r="O61" s="16" t="s">
        <v>241</v>
      </c>
      <c r="P61" s="16" t="s">
        <v>78</v>
      </c>
      <c r="Q61" s="16" t="s">
        <v>78</v>
      </c>
      <c r="R61" s="16" t="s">
        <v>72</v>
      </c>
      <c r="S61" s="16" t="s">
        <v>72</v>
      </c>
      <c r="T61" s="16" t="s">
        <v>72</v>
      </c>
      <c r="U61" s="16" t="s">
        <v>313</v>
      </c>
    </row>
    <row r="62" customFormat="false" ht="15" hidden="false" customHeight="true" outlineLevel="0" collapsed="false">
      <c r="A62" s="16" t="s">
        <v>314</v>
      </c>
      <c r="B62" s="16" t="s">
        <v>315</v>
      </c>
      <c r="C62" s="16" t="s">
        <v>316</v>
      </c>
      <c r="D62" s="16" t="s">
        <v>317</v>
      </c>
      <c r="E62" s="16" t="s">
        <v>71</v>
      </c>
      <c r="F62" s="16" t="s">
        <v>71</v>
      </c>
      <c r="G62" s="16" t="s">
        <v>72</v>
      </c>
      <c r="H62" s="16"/>
      <c r="I62" s="16" t="s">
        <v>73</v>
      </c>
      <c r="J62" s="16" t="s">
        <v>318</v>
      </c>
      <c r="K62" s="16"/>
      <c r="L62" s="16"/>
      <c r="M62" s="16" t="s">
        <v>77</v>
      </c>
      <c r="N62" s="16" t="s">
        <v>72</v>
      </c>
      <c r="O62" s="16" t="s">
        <v>105</v>
      </c>
      <c r="P62" s="16" t="s">
        <v>78</v>
      </c>
      <c r="Q62" s="16" t="s">
        <v>78</v>
      </c>
      <c r="R62" s="16" t="s">
        <v>72</v>
      </c>
      <c r="S62" s="16" t="s">
        <v>72</v>
      </c>
      <c r="T62" s="16" t="s">
        <v>72</v>
      </c>
      <c r="U62" s="16" t="s">
        <v>319</v>
      </c>
    </row>
    <row r="63" customFormat="false" ht="15" hidden="false" customHeight="true" outlineLevel="0" collapsed="false">
      <c r="A63" s="16" t="s">
        <v>320</v>
      </c>
      <c r="B63" s="16" t="s">
        <v>321</v>
      </c>
      <c r="C63" s="16" t="s">
        <v>322</v>
      </c>
      <c r="D63" s="16" t="s">
        <v>323</v>
      </c>
      <c r="E63" s="16" t="s">
        <v>71</v>
      </c>
      <c r="F63" s="16" t="s">
        <v>71</v>
      </c>
      <c r="G63" s="16" t="s">
        <v>72</v>
      </c>
      <c r="H63" s="16"/>
      <c r="I63" s="16" t="s">
        <v>73</v>
      </c>
      <c r="J63" s="16" t="s">
        <v>324</v>
      </c>
      <c r="K63" s="16"/>
      <c r="L63" s="16"/>
      <c r="M63" s="16" t="s">
        <v>77</v>
      </c>
      <c r="N63" s="16" t="s">
        <v>72</v>
      </c>
      <c r="O63" s="16" t="s">
        <v>20</v>
      </c>
      <c r="P63" s="16" t="s">
        <v>78</v>
      </c>
      <c r="Q63" s="16" t="s">
        <v>78</v>
      </c>
      <c r="R63" s="16" t="s">
        <v>72</v>
      </c>
      <c r="S63" s="16" t="s">
        <v>72</v>
      </c>
      <c r="T63" s="16" t="s">
        <v>72</v>
      </c>
      <c r="U63" s="16" t="s">
        <v>325</v>
      </c>
    </row>
    <row r="64" customFormat="false" ht="15" hidden="false" customHeight="true" outlineLevel="0" collapsed="false">
      <c r="A64" s="16" t="s">
        <v>326</v>
      </c>
      <c r="B64" s="16" t="s">
        <v>327</v>
      </c>
      <c r="C64" s="16" t="s">
        <v>328</v>
      </c>
      <c r="D64" s="16" t="s">
        <v>329</v>
      </c>
      <c r="E64" s="16" t="s">
        <v>71</v>
      </c>
      <c r="F64" s="16" t="s">
        <v>71</v>
      </c>
      <c r="G64" s="16" t="s">
        <v>72</v>
      </c>
      <c r="H64" s="16"/>
      <c r="I64" s="16" t="s">
        <v>73</v>
      </c>
      <c r="J64" s="16" t="s">
        <v>330</v>
      </c>
      <c r="K64" s="16"/>
      <c r="M64" s="16" t="s">
        <v>77</v>
      </c>
      <c r="N64" s="17"/>
      <c r="O64" s="16" t="s">
        <v>20</v>
      </c>
      <c r="P64" s="16" t="s">
        <v>331</v>
      </c>
      <c r="Q64" s="16" t="s">
        <v>331</v>
      </c>
      <c r="R64" s="17"/>
      <c r="S64" s="17"/>
      <c r="T64" s="17"/>
    </row>
    <row r="65" customFormat="false" ht="15" hidden="false" customHeight="true" outlineLevel="0" collapsed="false">
      <c r="A65" s="16" t="s">
        <v>332</v>
      </c>
      <c r="B65" s="16" t="s">
        <v>327</v>
      </c>
      <c r="C65" s="16" t="s">
        <v>333</v>
      </c>
      <c r="D65" s="16" t="s">
        <v>334</v>
      </c>
      <c r="E65" s="16" t="s">
        <v>71</v>
      </c>
      <c r="F65" s="16" t="s">
        <v>71</v>
      </c>
      <c r="G65" s="16" t="s">
        <v>72</v>
      </c>
      <c r="H65" s="16"/>
      <c r="I65" s="16" t="s">
        <v>73</v>
      </c>
      <c r="J65" s="16" t="s">
        <v>335</v>
      </c>
      <c r="K65" s="16"/>
      <c r="M65" s="16" t="s">
        <v>77</v>
      </c>
      <c r="N65" s="17"/>
      <c r="O65" s="16" t="s">
        <v>105</v>
      </c>
      <c r="P65" s="16" t="s">
        <v>331</v>
      </c>
      <c r="Q65" s="16" t="s">
        <v>331</v>
      </c>
      <c r="R65" s="17"/>
      <c r="S65" s="17"/>
      <c r="T65" s="17"/>
    </row>
    <row r="66" customFormat="false" ht="15" hidden="false" customHeight="true" outlineLevel="0" collapsed="false">
      <c r="A66" s="16" t="s">
        <v>336</v>
      </c>
      <c r="B66" s="16" t="s">
        <v>327</v>
      </c>
      <c r="C66" s="16" t="s">
        <v>333</v>
      </c>
      <c r="D66" s="16" t="s">
        <v>337</v>
      </c>
      <c r="E66" s="16" t="s">
        <v>71</v>
      </c>
      <c r="F66" s="16" t="s">
        <v>71</v>
      </c>
      <c r="G66" s="16" t="s">
        <v>72</v>
      </c>
      <c r="H66" s="16"/>
      <c r="I66" s="16" t="s">
        <v>73</v>
      </c>
      <c r="J66" s="16" t="s">
        <v>338</v>
      </c>
      <c r="K66" s="16"/>
      <c r="M66" s="16" t="s">
        <v>77</v>
      </c>
      <c r="N66" s="17"/>
      <c r="O66" s="16" t="s">
        <v>20</v>
      </c>
      <c r="P66" s="16" t="s">
        <v>331</v>
      </c>
      <c r="Q66" s="16" t="s">
        <v>331</v>
      </c>
      <c r="R66" s="17"/>
      <c r="S66" s="17"/>
      <c r="T66" s="17"/>
    </row>
    <row r="67" customFormat="false" ht="15" hidden="false" customHeight="true" outlineLevel="0" collapsed="false">
      <c r="A67" s="16" t="s">
        <v>339</v>
      </c>
      <c r="B67" s="16" t="s">
        <v>327</v>
      </c>
      <c r="C67" s="16" t="s">
        <v>250</v>
      </c>
      <c r="D67" s="16" t="s">
        <v>340</v>
      </c>
      <c r="E67" s="16" t="s">
        <v>71</v>
      </c>
      <c r="F67" s="16" t="s">
        <v>71</v>
      </c>
      <c r="G67" s="16" t="s">
        <v>72</v>
      </c>
      <c r="H67" s="16"/>
      <c r="I67" s="16" t="s">
        <v>73</v>
      </c>
      <c r="J67" s="16" t="s">
        <v>341</v>
      </c>
      <c r="K67" s="16"/>
      <c r="M67" s="16" t="s">
        <v>77</v>
      </c>
      <c r="N67" s="17"/>
      <c r="O67" s="16" t="s">
        <v>20</v>
      </c>
      <c r="P67" s="16" t="s">
        <v>331</v>
      </c>
      <c r="Q67" s="16" t="s">
        <v>331</v>
      </c>
      <c r="R67" s="17"/>
      <c r="S67" s="17"/>
      <c r="T67" s="17"/>
    </row>
    <row r="68" customFormat="false" ht="15" hidden="false" customHeight="true" outlineLevel="0" collapsed="false">
      <c r="A68" s="16" t="s">
        <v>342</v>
      </c>
      <c r="B68" s="16" t="s">
        <v>327</v>
      </c>
      <c r="C68" s="16" t="s">
        <v>250</v>
      </c>
      <c r="D68" s="16" t="s">
        <v>343</v>
      </c>
      <c r="E68" s="16" t="s">
        <v>71</v>
      </c>
      <c r="F68" s="16" t="s">
        <v>71</v>
      </c>
      <c r="G68" s="16" t="s">
        <v>72</v>
      </c>
      <c r="H68" s="16"/>
      <c r="I68" s="16" t="s">
        <v>73</v>
      </c>
      <c r="J68" s="16" t="s">
        <v>344</v>
      </c>
      <c r="K68" s="16"/>
      <c r="M68" s="16" t="s">
        <v>77</v>
      </c>
      <c r="N68" s="17"/>
      <c r="O68" s="16" t="s">
        <v>20</v>
      </c>
      <c r="P68" s="16" t="s">
        <v>331</v>
      </c>
      <c r="Q68" s="16" t="s">
        <v>331</v>
      </c>
      <c r="R68" s="17"/>
      <c r="S68" s="17"/>
      <c r="T68" s="17"/>
    </row>
    <row r="69" customFormat="false" ht="15" hidden="false" customHeight="true" outlineLevel="0" collapsed="false">
      <c r="A69" s="16" t="s">
        <v>345</v>
      </c>
      <c r="B69" s="16" t="s">
        <v>327</v>
      </c>
      <c r="C69" s="16" t="s">
        <v>250</v>
      </c>
      <c r="D69" s="16" t="s">
        <v>346</v>
      </c>
      <c r="E69" s="16" t="s">
        <v>71</v>
      </c>
      <c r="F69" s="16" t="s">
        <v>71</v>
      </c>
      <c r="G69" s="16" t="s">
        <v>72</v>
      </c>
      <c r="H69" s="16"/>
      <c r="I69" s="16" t="s">
        <v>73</v>
      </c>
      <c r="J69" s="16" t="s">
        <v>347</v>
      </c>
      <c r="K69" s="16"/>
      <c r="M69" s="16" t="s">
        <v>77</v>
      </c>
      <c r="N69" s="17"/>
      <c r="O69" s="16" t="s">
        <v>20</v>
      </c>
      <c r="P69" s="16" t="s">
        <v>331</v>
      </c>
      <c r="Q69" s="16" t="s">
        <v>331</v>
      </c>
      <c r="R69" s="17"/>
      <c r="S69" s="17"/>
      <c r="T69" s="17"/>
    </row>
    <row r="70" customFormat="false" ht="15" hidden="false" customHeight="true" outlineLevel="0" collapsed="false">
      <c r="A70" s="16" t="s">
        <v>348</v>
      </c>
      <c r="B70" s="16" t="s">
        <v>349</v>
      </c>
      <c r="C70" s="16" t="s">
        <v>250</v>
      </c>
      <c r="D70" s="16" t="s">
        <v>350</v>
      </c>
      <c r="E70" s="16" t="s">
        <v>71</v>
      </c>
      <c r="F70" s="16" t="s">
        <v>71</v>
      </c>
      <c r="G70" s="16" t="s">
        <v>72</v>
      </c>
      <c r="H70" s="16"/>
      <c r="I70" s="16" t="s">
        <v>252</v>
      </c>
      <c r="J70" s="16" t="s">
        <v>351</v>
      </c>
      <c r="K70" s="16"/>
      <c r="M70" s="16" t="s">
        <v>77</v>
      </c>
      <c r="N70" s="17"/>
      <c r="O70" s="16" t="s">
        <v>20</v>
      </c>
      <c r="P70" s="16" t="s">
        <v>331</v>
      </c>
      <c r="Q70" s="16" t="s">
        <v>331</v>
      </c>
      <c r="R70" s="17"/>
      <c r="S70" s="17"/>
      <c r="T70" s="17"/>
    </row>
    <row r="71" customFormat="false" ht="15" hidden="false" customHeight="true" outlineLevel="0" collapsed="false">
      <c r="A71" s="16" t="s">
        <v>352</v>
      </c>
      <c r="B71" s="16" t="s">
        <v>349</v>
      </c>
      <c r="C71" s="16" t="s">
        <v>250</v>
      </c>
      <c r="D71" s="16" t="s">
        <v>353</v>
      </c>
      <c r="E71" s="16" t="s">
        <v>71</v>
      </c>
      <c r="F71" s="16" t="s">
        <v>71</v>
      </c>
      <c r="G71" s="16" t="s">
        <v>72</v>
      </c>
      <c r="H71" s="16"/>
      <c r="I71" s="16" t="s">
        <v>252</v>
      </c>
      <c r="J71" s="16" t="s">
        <v>354</v>
      </c>
      <c r="K71" s="16"/>
      <c r="M71" s="16" t="s">
        <v>77</v>
      </c>
      <c r="N71" s="17"/>
      <c r="O71" s="16" t="s">
        <v>20</v>
      </c>
      <c r="P71" s="16" t="s">
        <v>331</v>
      </c>
      <c r="Q71" s="16" t="s">
        <v>331</v>
      </c>
      <c r="R71" s="17"/>
      <c r="S71" s="17"/>
      <c r="T71" s="17"/>
    </row>
    <row r="72" customFormat="false" ht="15" hidden="false" customHeight="true" outlineLevel="0" collapsed="false">
      <c r="A72" s="16" t="s">
        <v>355</v>
      </c>
      <c r="B72" s="16" t="s">
        <v>349</v>
      </c>
      <c r="C72" s="16" t="s">
        <v>250</v>
      </c>
      <c r="D72" s="16" t="s">
        <v>356</v>
      </c>
      <c r="E72" s="16" t="s">
        <v>71</v>
      </c>
      <c r="F72" s="16" t="s">
        <v>71</v>
      </c>
      <c r="G72" s="16" t="s">
        <v>72</v>
      </c>
      <c r="H72" s="16"/>
      <c r="I72" s="16" t="s">
        <v>252</v>
      </c>
      <c r="J72" s="16" t="s">
        <v>357</v>
      </c>
      <c r="K72" s="16"/>
      <c r="M72" s="16" t="s">
        <v>77</v>
      </c>
      <c r="N72" s="17"/>
      <c r="O72" s="16" t="s">
        <v>20</v>
      </c>
      <c r="P72" s="16" t="s">
        <v>331</v>
      </c>
      <c r="Q72" s="16" t="s">
        <v>331</v>
      </c>
      <c r="R72" s="17"/>
      <c r="S72" s="17"/>
      <c r="T72" s="17"/>
    </row>
    <row r="73" customFormat="false" ht="15" hidden="false" customHeight="true" outlineLevel="0" collapsed="false">
      <c r="A73" s="16" t="s">
        <v>358</v>
      </c>
      <c r="B73" s="16" t="s">
        <v>349</v>
      </c>
      <c r="C73" s="16" t="s">
        <v>250</v>
      </c>
      <c r="D73" s="16" t="s">
        <v>359</v>
      </c>
      <c r="E73" s="16" t="s">
        <v>71</v>
      </c>
      <c r="F73" s="16" t="s">
        <v>71</v>
      </c>
      <c r="G73" s="16" t="s">
        <v>72</v>
      </c>
      <c r="H73" s="16"/>
      <c r="I73" s="16" t="s">
        <v>252</v>
      </c>
      <c r="J73" s="16" t="s">
        <v>360</v>
      </c>
      <c r="K73" s="16"/>
      <c r="M73" s="16" t="s">
        <v>240</v>
      </c>
      <c r="N73" s="17"/>
      <c r="O73" s="16" t="s">
        <v>241</v>
      </c>
      <c r="P73" s="16" t="s">
        <v>331</v>
      </c>
      <c r="Q73" s="16" t="s">
        <v>331</v>
      </c>
      <c r="R73" s="17"/>
      <c r="S73" s="17"/>
      <c r="T73" s="17"/>
    </row>
    <row r="74" customFormat="false" ht="15" hidden="false" customHeight="true" outlineLevel="0" collapsed="false">
      <c r="A74" s="16" t="s">
        <v>361</v>
      </c>
      <c r="B74" s="16" t="s">
        <v>362</v>
      </c>
      <c r="C74" s="16" t="s">
        <v>250</v>
      </c>
      <c r="D74" s="16" t="s">
        <v>363</v>
      </c>
      <c r="E74" s="16" t="s">
        <v>71</v>
      </c>
      <c r="F74" s="16" t="s">
        <v>71</v>
      </c>
      <c r="G74" s="16" t="s">
        <v>72</v>
      </c>
      <c r="H74" s="16"/>
      <c r="I74" s="16" t="s">
        <v>73</v>
      </c>
      <c r="J74" s="16" t="s">
        <v>364</v>
      </c>
      <c r="K74" s="16"/>
      <c r="M74" s="16" t="s">
        <v>77</v>
      </c>
      <c r="N74" s="17"/>
      <c r="O74" s="16" t="s">
        <v>20</v>
      </c>
      <c r="P74" s="16" t="s">
        <v>331</v>
      </c>
      <c r="Q74" s="16" t="s">
        <v>331</v>
      </c>
      <c r="R74" s="17"/>
      <c r="S74" s="17"/>
      <c r="T74" s="17"/>
    </row>
    <row r="75" customFormat="false" ht="15" hidden="false" customHeight="true" outlineLevel="0" collapsed="false">
      <c r="A75" s="16" t="s">
        <v>365</v>
      </c>
      <c r="B75" s="16" t="s">
        <v>362</v>
      </c>
      <c r="C75" s="16" t="s">
        <v>250</v>
      </c>
      <c r="D75" s="16" t="s">
        <v>366</v>
      </c>
      <c r="E75" s="16" t="s">
        <v>71</v>
      </c>
      <c r="F75" s="16" t="s">
        <v>71</v>
      </c>
      <c r="G75" s="16" t="s">
        <v>72</v>
      </c>
      <c r="H75" s="16"/>
      <c r="I75" s="16" t="s">
        <v>73</v>
      </c>
      <c r="J75" s="16" t="s">
        <v>367</v>
      </c>
      <c r="K75" s="16"/>
      <c r="M75" s="16" t="s">
        <v>77</v>
      </c>
      <c r="N75" s="17"/>
      <c r="O75" s="16" t="s">
        <v>20</v>
      </c>
      <c r="P75" s="16" t="s">
        <v>331</v>
      </c>
      <c r="Q75" s="16" t="s">
        <v>331</v>
      </c>
      <c r="R75" s="17"/>
      <c r="S75" s="17"/>
      <c r="T75" s="17"/>
    </row>
    <row r="76" customFormat="false" ht="15" hidden="false" customHeight="true" outlineLevel="0" collapsed="false">
      <c r="A76" s="16" t="s">
        <v>368</v>
      </c>
      <c r="B76" s="16" t="s">
        <v>369</v>
      </c>
      <c r="C76" s="16" t="s">
        <v>135</v>
      </c>
      <c r="D76" s="16" t="s">
        <v>370</v>
      </c>
      <c r="E76" s="16" t="s">
        <v>71</v>
      </c>
      <c r="F76" s="16" t="s">
        <v>71</v>
      </c>
      <c r="G76" s="16" t="s">
        <v>72</v>
      </c>
      <c r="H76" s="16"/>
      <c r="I76" s="16" t="s">
        <v>73</v>
      </c>
      <c r="J76" s="16" t="s">
        <v>371</v>
      </c>
      <c r="K76" s="16"/>
      <c r="L76" s="16"/>
      <c r="M76" s="16" t="s">
        <v>77</v>
      </c>
      <c r="N76" s="16" t="s">
        <v>72</v>
      </c>
      <c r="O76" s="16" t="s">
        <v>20</v>
      </c>
      <c r="P76" s="16" t="s">
        <v>372</v>
      </c>
      <c r="Q76" s="16" t="s">
        <v>372</v>
      </c>
      <c r="R76" s="16" t="s">
        <v>72</v>
      </c>
      <c r="S76" s="16" t="s">
        <v>72</v>
      </c>
      <c r="T76" s="16" t="s">
        <v>72</v>
      </c>
      <c r="U76" s="16" t="s">
        <v>373</v>
      </c>
    </row>
    <row r="77" customFormat="false" ht="15" hidden="false" customHeight="true" outlineLevel="0" collapsed="false">
      <c r="A77" s="16" t="s">
        <v>374</v>
      </c>
      <c r="B77" s="16" t="s">
        <v>369</v>
      </c>
      <c r="C77" s="16" t="s">
        <v>135</v>
      </c>
      <c r="D77" s="16" t="s">
        <v>375</v>
      </c>
      <c r="E77" s="16" t="s">
        <v>71</v>
      </c>
      <c r="F77" s="16" t="s">
        <v>72</v>
      </c>
      <c r="G77" s="16" t="s">
        <v>72</v>
      </c>
      <c r="H77" s="16"/>
      <c r="I77" s="16" t="s">
        <v>73</v>
      </c>
      <c r="J77" s="16" t="s">
        <v>376</v>
      </c>
      <c r="K77" s="16"/>
      <c r="L77" s="16"/>
      <c r="M77" s="16" t="s">
        <v>77</v>
      </c>
      <c r="N77" s="16" t="s">
        <v>72</v>
      </c>
      <c r="O77" s="16" t="s">
        <v>20</v>
      </c>
      <c r="P77" s="16" t="s">
        <v>372</v>
      </c>
      <c r="Q77" s="16" t="s">
        <v>372</v>
      </c>
      <c r="R77" s="16" t="s">
        <v>72</v>
      </c>
      <c r="S77" s="16" t="s">
        <v>72</v>
      </c>
      <c r="T77" s="16" t="s">
        <v>72</v>
      </c>
      <c r="U77" s="16" t="s">
        <v>377</v>
      </c>
    </row>
    <row r="78" customFormat="false" ht="15" hidden="false" customHeight="true" outlineLevel="0" collapsed="false">
      <c r="A78" s="16" t="s">
        <v>378</v>
      </c>
      <c r="B78" s="16" t="s">
        <v>369</v>
      </c>
      <c r="C78" s="16" t="s">
        <v>135</v>
      </c>
      <c r="D78" s="16" t="s">
        <v>379</v>
      </c>
      <c r="E78" s="16" t="s">
        <v>71</v>
      </c>
      <c r="F78" s="16" t="s">
        <v>72</v>
      </c>
      <c r="G78" s="16" t="s">
        <v>72</v>
      </c>
      <c r="H78" s="16"/>
      <c r="I78" s="16" t="s">
        <v>73</v>
      </c>
      <c r="J78" s="16" t="s">
        <v>380</v>
      </c>
      <c r="K78" s="16"/>
      <c r="L78" s="16"/>
      <c r="M78" s="16" t="s">
        <v>77</v>
      </c>
      <c r="N78" s="16" t="s">
        <v>72</v>
      </c>
      <c r="O78" s="16" t="s">
        <v>20</v>
      </c>
      <c r="P78" s="16" t="s">
        <v>372</v>
      </c>
      <c r="Q78" s="16" t="s">
        <v>372</v>
      </c>
      <c r="R78" s="16" t="s">
        <v>72</v>
      </c>
      <c r="S78" s="16" t="s">
        <v>72</v>
      </c>
      <c r="T78" s="16" t="s">
        <v>72</v>
      </c>
      <c r="U78" s="16" t="s">
        <v>381</v>
      </c>
    </row>
    <row r="79" customFormat="false" ht="15" hidden="false" customHeight="true" outlineLevel="0" collapsed="false">
      <c r="A79" s="16" t="s">
        <v>382</v>
      </c>
      <c r="B79" s="16" t="s">
        <v>369</v>
      </c>
      <c r="C79" s="16" t="s">
        <v>135</v>
      </c>
      <c r="D79" s="16" t="s">
        <v>383</v>
      </c>
      <c r="E79" s="16" t="s">
        <v>71</v>
      </c>
      <c r="F79" s="16" t="s">
        <v>71</v>
      </c>
      <c r="G79" s="16" t="s">
        <v>72</v>
      </c>
      <c r="H79" s="16"/>
      <c r="I79" s="16" t="s">
        <v>73</v>
      </c>
      <c r="J79" s="16" t="s">
        <v>384</v>
      </c>
      <c r="K79" s="16" t="s">
        <v>385</v>
      </c>
      <c r="L79" s="16"/>
      <c r="M79" s="16" t="s">
        <v>77</v>
      </c>
      <c r="N79" s="16" t="s">
        <v>72</v>
      </c>
      <c r="O79" s="16" t="s">
        <v>20</v>
      </c>
      <c r="P79" s="16" t="s">
        <v>372</v>
      </c>
      <c r="Q79" s="16" t="s">
        <v>372</v>
      </c>
      <c r="R79" s="16" t="s">
        <v>72</v>
      </c>
      <c r="S79" s="16" t="s">
        <v>72</v>
      </c>
      <c r="T79" s="16" t="s">
        <v>72</v>
      </c>
      <c r="U79" s="16" t="s">
        <v>386</v>
      </c>
    </row>
    <row r="80" customFormat="false" ht="15" hidden="false" customHeight="true" outlineLevel="0" collapsed="false">
      <c r="A80" s="16" t="s">
        <v>387</v>
      </c>
      <c r="B80" s="16" t="s">
        <v>369</v>
      </c>
      <c r="C80" s="16" t="s">
        <v>135</v>
      </c>
      <c r="D80" s="16" t="s">
        <v>388</v>
      </c>
      <c r="E80" s="16" t="s">
        <v>71</v>
      </c>
      <c r="F80" s="16" t="s">
        <v>72</v>
      </c>
      <c r="G80" s="16" t="s">
        <v>71</v>
      </c>
      <c r="H80" s="16" t="s">
        <v>389</v>
      </c>
      <c r="I80" s="16" t="s">
        <v>73</v>
      </c>
      <c r="J80" s="16"/>
      <c r="K80" s="16"/>
      <c r="L80" s="16" t="s">
        <v>390</v>
      </c>
      <c r="M80" s="16" t="s">
        <v>240</v>
      </c>
      <c r="N80" s="16" t="s">
        <v>72</v>
      </c>
      <c r="O80" s="16" t="s">
        <v>391</v>
      </c>
      <c r="P80" s="16" t="s">
        <v>372</v>
      </c>
      <c r="Q80" s="16"/>
      <c r="R80" s="16" t="s">
        <v>72</v>
      </c>
      <c r="S80" s="16" t="s">
        <v>72</v>
      </c>
      <c r="T80" s="16" t="s">
        <v>72</v>
      </c>
      <c r="U80" s="16" t="s">
        <v>392</v>
      </c>
    </row>
    <row r="81" customFormat="false" ht="15" hidden="false" customHeight="true" outlineLevel="0" collapsed="false">
      <c r="A81" s="16" t="s">
        <v>393</v>
      </c>
      <c r="B81" s="16" t="s">
        <v>369</v>
      </c>
      <c r="C81" s="16" t="s">
        <v>250</v>
      </c>
      <c r="D81" s="16" t="s">
        <v>394</v>
      </c>
      <c r="E81" s="16" t="s">
        <v>71</v>
      </c>
      <c r="F81" s="16" t="s">
        <v>72</v>
      </c>
      <c r="G81" s="16" t="s">
        <v>72</v>
      </c>
      <c r="H81" s="16"/>
      <c r="I81" s="16" t="s">
        <v>73</v>
      </c>
      <c r="J81" s="16" t="s">
        <v>395</v>
      </c>
      <c r="K81" s="16"/>
      <c r="L81" s="16"/>
      <c r="M81" s="16" t="s">
        <v>77</v>
      </c>
      <c r="N81" s="16" t="s">
        <v>72</v>
      </c>
      <c r="O81" s="16" t="s">
        <v>20</v>
      </c>
      <c r="P81" s="16" t="s">
        <v>372</v>
      </c>
      <c r="Q81" s="16" t="s">
        <v>372</v>
      </c>
      <c r="R81" s="16" t="s">
        <v>72</v>
      </c>
      <c r="S81" s="16" t="s">
        <v>72</v>
      </c>
      <c r="T81" s="16" t="s">
        <v>72</v>
      </c>
      <c r="U81" s="16" t="s">
        <v>396</v>
      </c>
    </row>
    <row r="82" customFormat="false" ht="15" hidden="false" customHeight="true" outlineLevel="0" collapsed="false">
      <c r="A82" s="16" t="s">
        <v>397</v>
      </c>
      <c r="B82" s="16" t="s">
        <v>369</v>
      </c>
      <c r="C82" s="16" t="s">
        <v>250</v>
      </c>
      <c r="D82" s="16" t="s">
        <v>398</v>
      </c>
      <c r="E82" s="16" t="s">
        <v>71</v>
      </c>
      <c r="F82" s="16" t="s">
        <v>71</v>
      </c>
      <c r="G82" s="16" t="s">
        <v>72</v>
      </c>
      <c r="H82" s="16"/>
      <c r="I82" s="16" t="s">
        <v>73</v>
      </c>
      <c r="J82" s="16" t="s">
        <v>399</v>
      </c>
      <c r="K82" s="16"/>
      <c r="L82" s="16"/>
      <c r="M82" s="16" t="s">
        <v>77</v>
      </c>
      <c r="N82" s="16" t="s">
        <v>72</v>
      </c>
      <c r="O82" s="16" t="s">
        <v>20</v>
      </c>
      <c r="P82" s="16" t="s">
        <v>372</v>
      </c>
      <c r="Q82" s="16" t="s">
        <v>372</v>
      </c>
      <c r="R82" s="16" t="s">
        <v>72</v>
      </c>
      <c r="S82" s="16" t="s">
        <v>72</v>
      </c>
      <c r="T82" s="16" t="s">
        <v>72</v>
      </c>
      <c r="U82" s="16" t="s">
        <v>400</v>
      </c>
    </row>
    <row r="83" customFormat="false" ht="15" hidden="false" customHeight="true" outlineLevel="0" collapsed="false">
      <c r="A83" s="16" t="s">
        <v>401</v>
      </c>
      <c r="B83" s="16" t="s">
        <v>369</v>
      </c>
      <c r="C83" s="16" t="s">
        <v>250</v>
      </c>
      <c r="D83" s="16" t="s">
        <v>402</v>
      </c>
      <c r="E83" s="16" t="s">
        <v>71</v>
      </c>
      <c r="F83" s="16" t="s">
        <v>71</v>
      </c>
      <c r="G83" s="16" t="s">
        <v>72</v>
      </c>
      <c r="H83" s="16"/>
      <c r="I83" s="16" t="s">
        <v>73</v>
      </c>
      <c r="J83" s="16" t="s">
        <v>403</v>
      </c>
      <c r="K83" s="16"/>
      <c r="L83" s="16"/>
      <c r="M83" s="16" t="s">
        <v>77</v>
      </c>
      <c r="N83" s="16" t="s">
        <v>72</v>
      </c>
      <c r="O83" s="16" t="s">
        <v>20</v>
      </c>
      <c r="P83" s="16" t="s">
        <v>372</v>
      </c>
      <c r="Q83" s="16" t="s">
        <v>372</v>
      </c>
      <c r="R83" s="16" t="s">
        <v>72</v>
      </c>
      <c r="S83" s="16" t="s">
        <v>72</v>
      </c>
      <c r="T83" s="16" t="s">
        <v>72</v>
      </c>
      <c r="U83" s="16" t="s">
        <v>404</v>
      </c>
    </row>
    <row r="84" customFormat="false" ht="15" hidden="false" customHeight="true" outlineLevel="0" collapsed="false">
      <c r="A84" s="16" t="s">
        <v>405</v>
      </c>
      <c r="B84" s="16" t="s">
        <v>406</v>
      </c>
      <c r="C84" s="16" t="s">
        <v>250</v>
      </c>
      <c r="D84" s="16" t="s">
        <v>407</v>
      </c>
      <c r="E84" s="16" t="s">
        <v>71</v>
      </c>
      <c r="F84" s="16" t="s">
        <v>72</v>
      </c>
      <c r="G84" s="16" t="s">
        <v>72</v>
      </c>
      <c r="H84" s="16"/>
      <c r="I84" s="16" t="s">
        <v>252</v>
      </c>
      <c r="J84" s="16"/>
      <c r="K84" s="16"/>
      <c r="L84" s="16" t="s">
        <v>408</v>
      </c>
      <c r="M84" s="16" t="s">
        <v>240</v>
      </c>
      <c r="N84" s="16" t="s">
        <v>72</v>
      </c>
      <c r="O84" s="16" t="s">
        <v>19</v>
      </c>
      <c r="P84" s="16" t="s">
        <v>372</v>
      </c>
      <c r="Q84" s="16"/>
      <c r="R84" s="16" t="s">
        <v>72</v>
      </c>
      <c r="S84" s="16" t="s">
        <v>72</v>
      </c>
      <c r="T84" s="16" t="s">
        <v>72</v>
      </c>
      <c r="U84" s="16" t="s">
        <v>409</v>
      </c>
    </row>
    <row r="85" customFormat="false" ht="15" hidden="false" customHeight="true" outlineLevel="0" collapsed="false">
      <c r="A85" s="16" t="s">
        <v>410</v>
      </c>
      <c r="B85" s="16" t="s">
        <v>406</v>
      </c>
      <c r="C85" s="16" t="s">
        <v>250</v>
      </c>
      <c r="D85" s="16" t="s">
        <v>411</v>
      </c>
      <c r="E85" s="16" t="s">
        <v>71</v>
      </c>
      <c r="F85" s="16" t="s">
        <v>72</v>
      </c>
      <c r="G85" s="16" t="s">
        <v>72</v>
      </c>
      <c r="H85" s="16"/>
      <c r="I85" s="16" t="s">
        <v>252</v>
      </c>
      <c r="J85" s="16" t="s">
        <v>412</v>
      </c>
      <c r="K85" s="16"/>
      <c r="L85" s="16"/>
      <c r="M85" s="16" t="s">
        <v>77</v>
      </c>
      <c r="N85" s="16" t="s">
        <v>72</v>
      </c>
      <c r="O85" s="16" t="s">
        <v>20</v>
      </c>
      <c r="P85" s="16" t="s">
        <v>372</v>
      </c>
      <c r="Q85" s="16" t="s">
        <v>372</v>
      </c>
      <c r="R85" s="16" t="s">
        <v>72</v>
      </c>
      <c r="S85" s="16" t="s">
        <v>72</v>
      </c>
      <c r="T85" s="16" t="s">
        <v>72</v>
      </c>
      <c r="U85" s="16" t="s">
        <v>413</v>
      </c>
    </row>
    <row r="86" customFormat="false" ht="15" hidden="false" customHeight="true" outlineLevel="0" collapsed="false">
      <c r="A86" s="16" t="s">
        <v>414</v>
      </c>
      <c r="B86" s="16" t="s">
        <v>369</v>
      </c>
      <c r="C86" s="16" t="s">
        <v>415</v>
      </c>
      <c r="D86" s="16" t="s">
        <v>416</v>
      </c>
      <c r="E86" s="16" t="s">
        <v>71</v>
      </c>
      <c r="F86" s="16" t="s">
        <v>71</v>
      </c>
      <c r="G86" s="16" t="s">
        <v>72</v>
      </c>
      <c r="H86" s="16"/>
      <c r="I86" s="16" t="s">
        <v>73</v>
      </c>
      <c r="J86" s="16" t="s">
        <v>417</v>
      </c>
      <c r="K86" s="16" t="s">
        <v>418</v>
      </c>
      <c r="L86" s="16"/>
      <c r="M86" s="16" t="s">
        <v>77</v>
      </c>
      <c r="N86" s="16" t="s">
        <v>72</v>
      </c>
      <c r="O86" s="16" t="s">
        <v>20</v>
      </c>
      <c r="P86" s="16" t="s">
        <v>372</v>
      </c>
      <c r="Q86" s="16" t="s">
        <v>372</v>
      </c>
      <c r="R86" s="16" t="s">
        <v>72</v>
      </c>
      <c r="S86" s="16" t="s">
        <v>72</v>
      </c>
      <c r="T86" s="16" t="s">
        <v>72</v>
      </c>
      <c r="U86" s="16" t="s">
        <v>419</v>
      </c>
    </row>
    <row r="87" customFormat="false" ht="15" hidden="false" customHeight="true" outlineLevel="0" collapsed="false">
      <c r="A87" s="16" t="s">
        <v>420</v>
      </c>
      <c r="B87" s="16" t="s">
        <v>369</v>
      </c>
      <c r="C87" s="16" t="s">
        <v>421</v>
      </c>
      <c r="D87" s="16" t="s">
        <v>422</v>
      </c>
      <c r="E87" s="16" t="s">
        <v>71</v>
      </c>
      <c r="F87" s="16" t="s">
        <v>71</v>
      </c>
      <c r="G87" s="16" t="s">
        <v>72</v>
      </c>
      <c r="H87" s="16"/>
      <c r="I87" s="16" t="s">
        <v>73</v>
      </c>
      <c r="J87" s="16" t="s">
        <v>423</v>
      </c>
      <c r="K87" s="16" t="s">
        <v>424</v>
      </c>
      <c r="L87" s="16"/>
      <c r="M87" s="16" t="s">
        <v>77</v>
      </c>
      <c r="N87" s="16" t="s">
        <v>72</v>
      </c>
      <c r="O87" s="16" t="s">
        <v>20</v>
      </c>
      <c r="P87" s="16" t="s">
        <v>372</v>
      </c>
      <c r="Q87" s="16" t="s">
        <v>372</v>
      </c>
      <c r="R87" s="16" t="s">
        <v>72</v>
      </c>
      <c r="S87" s="16" t="s">
        <v>72</v>
      </c>
      <c r="T87" s="16" t="s">
        <v>72</v>
      </c>
      <c r="U87" s="16" t="s">
        <v>425</v>
      </c>
    </row>
    <row r="88" customFormat="false" ht="15" hidden="false" customHeight="true" outlineLevel="0" collapsed="false">
      <c r="A88" s="16" t="s">
        <v>426</v>
      </c>
      <c r="B88" s="16" t="s">
        <v>406</v>
      </c>
      <c r="C88" s="16" t="s">
        <v>427</v>
      </c>
      <c r="D88" s="16" t="s">
        <v>428</v>
      </c>
      <c r="E88" s="16" t="s">
        <v>71</v>
      </c>
      <c r="F88" s="16" t="s">
        <v>71</v>
      </c>
      <c r="G88" s="16" t="s">
        <v>72</v>
      </c>
      <c r="H88" s="16"/>
      <c r="I88" s="16" t="s">
        <v>252</v>
      </c>
      <c r="J88" s="16" t="s">
        <v>429</v>
      </c>
      <c r="K88" s="16" t="s">
        <v>430</v>
      </c>
      <c r="L88" s="16"/>
      <c r="M88" s="16" t="s">
        <v>77</v>
      </c>
      <c r="N88" s="16" t="s">
        <v>72</v>
      </c>
      <c r="O88" s="16" t="s">
        <v>20</v>
      </c>
      <c r="P88" s="16" t="s">
        <v>372</v>
      </c>
      <c r="Q88" s="16" t="s">
        <v>372</v>
      </c>
      <c r="R88" s="16" t="s">
        <v>72</v>
      </c>
      <c r="S88" s="16" t="s">
        <v>72</v>
      </c>
      <c r="T88" s="16" t="s">
        <v>72</v>
      </c>
      <c r="U88" s="16" t="s">
        <v>431</v>
      </c>
    </row>
    <row r="89" customFormat="false" ht="15" hidden="false" customHeight="true" outlineLevel="0" collapsed="false">
      <c r="A89" s="16" t="s">
        <v>432</v>
      </c>
      <c r="B89" s="16" t="s">
        <v>406</v>
      </c>
      <c r="C89" s="16" t="s">
        <v>433</v>
      </c>
      <c r="D89" s="16" t="s">
        <v>434</v>
      </c>
      <c r="E89" s="16" t="s">
        <v>71</v>
      </c>
      <c r="F89" s="16" t="s">
        <v>72</v>
      </c>
      <c r="G89" s="16" t="s">
        <v>72</v>
      </c>
      <c r="H89" s="16"/>
      <c r="I89" s="16" t="s">
        <v>252</v>
      </c>
      <c r="J89" s="16" t="s">
        <v>435</v>
      </c>
      <c r="K89" s="16" t="s">
        <v>436</v>
      </c>
      <c r="L89" s="16"/>
      <c r="M89" s="16" t="s">
        <v>77</v>
      </c>
      <c r="N89" s="16" t="s">
        <v>72</v>
      </c>
      <c r="O89" s="16" t="s">
        <v>20</v>
      </c>
      <c r="P89" s="16" t="s">
        <v>372</v>
      </c>
      <c r="Q89" s="16" t="s">
        <v>372</v>
      </c>
      <c r="R89" s="16" t="s">
        <v>72</v>
      </c>
      <c r="S89" s="16" t="s">
        <v>72</v>
      </c>
      <c r="T89" s="16" t="s">
        <v>72</v>
      </c>
      <c r="U89" s="16" t="s">
        <v>437</v>
      </c>
    </row>
    <row r="90" customFormat="false" ht="15" hidden="false" customHeight="true" outlineLevel="0" collapsed="false">
      <c r="A90" s="16" t="s">
        <v>438</v>
      </c>
      <c r="B90" s="16" t="s">
        <v>369</v>
      </c>
      <c r="C90" s="16" t="s">
        <v>439</v>
      </c>
      <c r="D90" s="16" t="s">
        <v>440</v>
      </c>
      <c r="E90" s="16" t="s">
        <v>71</v>
      </c>
      <c r="F90" s="16" t="s">
        <v>71</v>
      </c>
      <c r="G90" s="16" t="s">
        <v>72</v>
      </c>
      <c r="H90" s="16"/>
      <c r="I90" s="16" t="s">
        <v>73</v>
      </c>
      <c r="J90" s="16" t="s">
        <v>441</v>
      </c>
      <c r="K90" s="16"/>
      <c r="L90" s="16"/>
      <c r="M90" s="16" t="s">
        <v>77</v>
      </c>
      <c r="N90" s="16" t="s">
        <v>72</v>
      </c>
      <c r="O90" s="16" t="s">
        <v>20</v>
      </c>
      <c r="P90" s="16" t="s">
        <v>372</v>
      </c>
      <c r="Q90" s="16" t="s">
        <v>372</v>
      </c>
      <c r="R90" s="16" t="s">
        <v>72</v>
      </c>
      <c r="S90" s="16" t="s">
        <v>72</v>
      </c>
      <c r="T90" s="16" t="s">
        <v>72</v>
      </c>
      <c r="U90" s="16" t="s">
        <v>442</v>
      </c>
    </row>
    <row r="91" customFormat="false" ht="15" hidden="false" customHeight="true" outlineLevel="0" collapsed="false">
      <c r="A91" s="16" t="s">
        <v>443</v>
      </c>
      <c r="B91" s="16" t="s">
        <v>369</v>
      </c>
      <c r="C91" s="16" t="s">
        <v>421</v>
      </c>
      <c r="D91" s="16" t="s">
        <v>444</v>
      </c>
      <c r="E91" s="16" t="s">
        <v>71</v>
      </c>
      <c r="F91" s="16" t="s">
        <v>71</v>
      </c>
      <c r="G91" s="16" t="s">
        <v>72</v>
      </c>
      <c r="H91" s="16"/>
      <c r="I91" s="16" t="s">
        <v>73</v>
      </c>
      <c r="J91" s="16" t="s">
        <v>445</v>
      </c>
      <c r="K91" s="16"/>
      <c r="L91" s="16"/>
      <c r="M91" s="16" t="s">
        <v>77</v>
      </c>
      <c r="N91" s="16" t="s">
        <v>72</v>
      </c>
      <c r="O91" s="16" t="s">
        <v>20</v>
      </c>
      <c r="P91" s="16" t="s">
        <v>372</v>
      </c>
      <c r="Q91" s="16" t="s">
        <v>372</v>
      </c>
      <c r="R91" s="16" t="s">
        <v>72</v>
      </c>
      <c r="S91" s="16" t="s">
        <v>72</v>
      </c>
      <c r="T91" s="16" t="s">
        <v>72</v>
      </c>
      <c r="U91" s="16" t="s">
        <v>446</v>
      </c>
    </row>
    <row r="92" customFormat="false" ht="15" hidden="false" customHeight="true" outlineLevel="0" collapsed="false">
      <c r="A92" s="16" t="s">
        <v>447</v>
      </c>
      <c r="B92" s="16" t="s">
        <v>369</v>
      </c>
      <c r="C92" s="16" t="s">
        <v>333</v>
      </c>
      <c r="D92" s="16" t="s">
        <v>448</v>
      </c>
      <c r="E92" s="16" t="s">
        <v>71</v>
      </c>
      <c r="F92" s="16" t="s">
        <v>72</v>
      </c>
      <c r="G92" s="16" t="s">
        <v>72</v>
      </c>
      <c r="H92" s="16"/>
      <c r="I92" s="16" t="s">
        <v>73</v>
      </c>
      <c r="J92" s="16" t="s">
        <v>449</v>
      </c>
      <c r="K92" s="16"/>
      <c r="L92" s="16"/>
      <c r="M92" s="16" t="s">
        <v>77</v>
      </c>
      <c r="N92" s="16" t="s">
        <v>72</v>
      </c>
      <c r="O92" s="16" t="s">
        <v>20</v>
      </c>
      <c r="P92" s="16" t="s">
        <v>372</v>
      </c>
      <c r="Q92" s="16" t="s">
        <v>372</v>
      </c>
      <c r="R92" s="16" t="s">
        <v>72</v>
      </c>
      <c r="S92" s="16" t="s">
        <v>72</v>
      </c>
      <c r="T92" s="16" t="s">
        <v>72</v>
      </c>
      <c r="U92" s="16" t="s">
        <v>450</v>
      </c>
    </row>
    <row r="93" customFormat="false" ht="15" hidden="false" customHeight="true" outlineLevel="0" collapsed="false">
      <c r="A93" s="16" t="s">
        <v>451</v>
      </c>
      <c r="B93" s="16" t="s">
        <v>369</v>
      </c>
      <c r="C93" s="16" t="s">
        <v>452</v>
      </c>
      <c r="D93" s="16" t="s">
        <v>453</v>
      </c>
      <c r="E93" s="16" t="s">
        <v>71</v>
      </c>
      <c r="F93" s="16" t="s">
        <v>72</v>
      </c>
      <c r="G93" s="16" t="s">
        <v>72</v>
      </c>
      <c r="H93" s="16"/>
      <c r="I93" s="16" t="s">
        <v>73</v>
      </c>
      <c r="J93" s="16" t="s">
        <v>454</v>
      </c>
      <c r="K93" s="16"/>
      <c r="L93" s="16"/>
      <c r="M93" s="16" t="s">
        <v>77</v>
      </c>
      <c r="N93" s="16" t="s">
        <v>72</v>
      </c>
      <c r="O93" s="16" t="s">
        <v>20</v>
      </c>
      <c r="P93" s="16" t="s">
        <v>372</v>
      </c>
      <c r="Q93" s="16" t="s">
        <v>372</v>
      </c>
      <c r="R93" s="16" t="s">
        <v>72</v>
      </c>
      <c r="S93" s="16" t="s">
        <v>72</v>
      </c>
      <c r="T93" s="16" t="s">
        <v>72</v>
      </c>
      <c r="U93" s="16" t="s">
        <v>455</v>
      </c>
    </row>
    <row r="94" customFormat="false" ht="15" hidden="false" customHeight="true" outlineLevel="0" collapsed="false">
      <c r="A94" s="16" t="s">
        <v>456</v>
      </c>
      <c r="B94" s="16" t="s">
        <v>369</v>
      </c>
      <c r="C94" s="16" t="s">
        <v>333</v>
      </c>
      <c r="D94" s="16" t="s">
        <v>457</v>
      </c>
      <c r="E94" s="16" t="s">
        <v>71</v>
      </c>
      <c r="F94" s="16" t="s">
        <v>72</v>
      </c>
      <c r="G94" s="16" t="s">
        <v>72</v>
      </c>
      <c r="H94" s="16"/>
      <c r="I94" s="16" t="s">
        <v>73</v>
      </c>
      <c r="J94" s="16" t="s">
        <v>458</v>
      </c>
      <c r="K94" s="16"/>
      <c r="L94" s="16"/>
      <c r="M94" s="16" t="s">
        <v>77</v>
      </c>
      <c r="N94" s="16" t="s">
        <v>72</v>
      </c>
      <c r="O94" s="16" t="s">
        <v>20</v>
      </c>
      <c r="P94" s="16" t="s">
        <v>372</v>
      </c>
      <c r="Q94" s="16" t="s">
        <v>372</v>
      </c>
      <c r="R94" s="16" t="s">
        <v>72</v>
      </c>
      <c r="S94" s="16" t="s">
        <v>72</v>
      </c>
      <c r="T94" s="16" t="s">
        <v>72</v>
      </c>
      <c r="U94" s="16" t="s">
        <v>459</v>
      </c>
    </row>
    <row r="95" customFormat="false" ht="15" hidden="false" customHeight="true" outlineLevel="0" collapsed="false">
      <c r="A95" s="16" t="s">
        <v>460</v>
      </c>
      <c r="B95" s="16" t="s">
        <v>369</v>
      </c>
      <c r="C95" s="16" t="s">
        <v>461</v>
      </c>
      <c r="D95" s="16" t="s">
        <v>462</v>
      </c>
      <c r="E95" s="16" t="s">
        <v>71</v>
      </c>
      <c r="F95" s="16" t="s">
        <v>71</v>
      </c>
      <c r="G95" s="16" t="s">
        <v>72</v>
      </c>
      <c r="H95" s="16"/>
      <c r="I95" s="16" t="s">
        <v>73</v>
      </c>
      <c r="J95" s="16" t="s">
        <v>463</v>
      </c>
      <c r="K95" s="16"/>
      <c r="L95" s="16"/>
      <c r="M95" s="16" t="s">
        <v>77</v>
      </c>
      <c r="N95" s="16" t="s">
        <v>72</v>
      </c>
      <c r="O95" s="16" t="s">
        <v>20</v>
      </c>
      <c r="P95" s="16" t="s">
        <v>372</v>
      </c>
      <c r="Q95" s="16" t="s">
        <v>372</v>
      </c>
      <c r="R95" s="16" t="s">
        <v>72</v>
      </c>
      <c r="S95" s="16" t="s">
        <v>72</v>
      </c>
      <c r="T95" s="16" t="s">
        <v>72</v>
      </c>
      <c r="U95" s="16" t="s">
        <v>464</v>
      </c>
    </row>
    <row r="96" customFormat="false" ht="15" hidden="false" customHeight="true" outlineLevel="0" collapsed="false">
      <c r="A96" s="16" t="s">
        <v>465</v>
      </c>
      <c r="B96" s="16" t="s">
        <v>369</v>
      </c>
      <c r="C96" s="16" t="s">
        <v>333</v>
      </c>
      <c r="D96" s="16" t="s">
        <v>466</v>
      </c>
      <c r="E96" s="16" t="s">
        <v>71</v>
      </c>
      <c r="F96" s="16" t="s">
        <v>72</v>
      </c>
      <c r="G96" s="16" t="s">
        <v>72</v>
      </c>
      <c r="H96" s="16"/>
      <c r="I96" s="16" t="s">
        <v>73</v>
      </c>
      <c r="J96" s="16"/>
      <c r="K96" s="16"/>
      <c r="L96" s="16" t="s">
        <v>467</v>
      </c>
      <c r="M96" s="16" t="s">
        <v>240</v>
      </c>
      <c r="N96" s="16" t="s">
        <v>72</v>
      </c>
      <c r="O96" s="16" t="s">
        <v>19</v>
      </c>
      <c r="P96" s="16" t="s">
        <v>372</v>
      </c>
      <c r="Q96" s="16"/>
      <c r="R96" s="16" t="s">
        <v>72</v>
      </c>
      <c r="S96" s="16" t="s">
        <v>72</v>
      </c>
      <c r="T96" s="16" t="s">
        <v>72</v>
      </c>
      <c r="U96" s="16" t="s">
        <v>468</v>
      </c>
    </row>
    <row r="97" customFormat="false" ht="15" hidden="false" customHeight="true" outlineLevel="0" collapsed="false">
      <c r="A97" s="16" t="s">
        <v>469</v>
      </c>
      <c r="B97" s="16" t="s">
        <v>369</v>
      </c>
      <c r="C97" s="16" t="s">
        <v>333</v>
      </c>
      <c r="D97" s="16" t="s">
        <v>470</v>
      </c>
      <c r="E97" s="16" t="s">
        <v>71</v>
      </c>
      <c r="F97" s="16" t="s">
        <v>72</v>
      </c>
      <c r="G97" s="16" t="s">
        <v>72</v>
      </c>
      <c r="H97" s="16"/>
      <c r="I97" s="16" t="s">
        <v>73</v>
      </c>
      <c r="J97" s="16"/>
      <c r="K97" s="16"/>
      <c r="L97" s="16" t="s">
        <v>471</v>
      </c>
      <c r="M97" s="16" t="s">
        <v>240</v>
      </c>
      <c r="N97" s="16" t="s">
        <v>72</v>
      </c>
      <c r="O97" s="16" t="s">
        <v>472</v>
      </c>
      <c r="P97" s="16" t="s">
        <v>372</v>
      </c>
      <c r="Q97" s="16"/>
      <c r="R97" s="16" t="s">
        <v>72</v>
      </c>
      <c r="S97" s="16" t="s">
        <v>72</v>
      </c>
      <c r="T97" s="16" t="s">
        <v>72</v>
      </c>
      <c r="U97" s="16" t="s">
        <v>473</v>
      </c>
    </row>
    <row r="98" customFormat="false" ht="15" hidden="false" customHeight="true" outlineLevel="0" collapsed="false">
      <c r="A98" s="16" t="s">
        <v>474</v>
      </c>
      <c r="B98" s="16" t="s">
        <v>369</v>
      </c>
      <c r="C98" s="16" t="s">
        <v>333</v>
      </c>
      <c r="D98" s="16" t="s">
        <v>475</v>
      </c>
      <c r="E98" s="16" t="s">
        <v>71</v>
      </c>
      <c r="F98" s="16" t="s">
        <v>72</v>
      </c>
      <c r="G98" s="16" t="s">
        <v>72</v>
      </c>
      <c r="H98" s="16"/>
      <c r="I98" s="16" t="s">
        <v>73</v>
      </c>
      <c r="J98" s="16"/>
      <c r="K98" s="16"/>
      <c r="L98" s="16" t="s">
        <v>476</v>
      </c>
      <c r="M98" s="16" t="s">
        <v>240</v>
      </c>
      <c r="N98" s="16" t="s">
        <v>72</v>
      </c>
      <c r="O98" s="16" t="s">
        <v>19</v>
      </c>
      <c r="P98" s="16" t="s">
        <v>372</v>
      </c>
      <c r="Q98" s="16"/>
      <c r="R98" s="16" t="s">
        <v>72</v>
      </c>
      <c r="S98" s="16" t="s">
        <v>72</v>
      </c>
      <c r="T98" s="16" t="s">
        <v>72</v>
      </c>
      <c r="U98" s="16" t="s">
        <v>477</v>
      </c>
    </row>
    <row r="99" customFormat="false" ht="15" hidden="false" customHeight="true" outlineLevel="0" collapsed="false">
      <c r="A99" s="16" t="s">
        <v>478</v>
      </c>
      <c r="B99" s="16" t="s">
        <v>369</v>
      </c>
      <c r="C99" s="16" t="s">
        <v>479</v>
      </c>
      <c r="D99" s="16" t="s">
        <v>480</v>
      </c>
      <c r="E99" s="16" t="s">
        <v>71</v>
      </c>
      <c r="F99" s="16" t="s">
        <v>72</v>
      </c>
      <c r="G99" s="16" t="s">
        <v>72</v>
      </c>
      <c r="H99" s="16"/>
      <c r="I99" s="16" t="s">
        <v>73</v>
      </c>
      <c r="J99" s="16"/>
      <c r="K99" s="16"/>
      <c r="L99" s="16" t="s">
        <v>481</v>
      </c>
      <c r="M99" s="16" t="s">
        <v>240</v>
      </c>
      <c r="N99" s="16" t="s">
        <v>72</v>
      </c>
      <c r="O99" s="16" t="s">
        <v>19</v>
      </c>
      <c r="P99" s="16" t="s">
        <v>372</v>
      </c>
      <c r="Q99" s="16"/>
      <c r="R99" s="16" t="s">
        <v>72</v>
      </c>
      <c r="S99" s="16" t="s">
        <v>72</v>
      </c>
      <c r="T99" s="16" t="s">
        <v>72</v>
      </c>
      <c r="U99" s="16" t="s">
        <v>482</v>
      </c>
    </row>
    <row r="100" customFormat="false" ht="15" hidden="false" customHeight="true" outlineLevel="0" collapsed="false">
      <c r="A100" s="16" t="s">
        <v>483</v>
      </c>
      <c r="B100" s="16" t="s">
        <v>369</v>
      </c>
      <c r="C100" s="16" t="s">
        <v>333</v>
      </c>
      <c r="D100" s="16" t="s">
        <v>484</v>
      </c>
      <c r="E100" s="16" t="s">
        <v>71</v>
      </c>
      <c r="F100" s="16" t="s">
        <v>72</v>
      </c>
      <c r="G100" s="16" t="s">
        <v>72</v>
      </c>
      <c r="H100" s="16"/>
      <c r="I100" s="16" t="s">
        <v>73</v>
      </c>
      <c r="J100" s="16" t="s">
        <v>485</v>
      </c>
      <c r="K100" s="16"/>
      <c r="L100" s="16"/>
      <c r="M100" s="16" t="s">
        <v>77</v>
      </c>
      <c r="N100" s="16" t="s">
        <v>72</v>
      </c>
      <c r="O100" s="16" t="s">
        <v>20</v>
      </c>
      <c r="P100" s="16" t="s">
        <v>372</v>
      </c>
      <c r="Q100" s="16" t="s">
        <v>372</v>
      </c>
      <c r="R100" s="16" t="s">
        <v>72</v>
      </c>
      <c r="S100" s="16" t="s">
        <v>72</v>
      </c>
      <c r="T100" s="16" t="s">
        <v>72</v>
      </c>
      <c r="U100" s="16" t="s">
        <v>486</v>
      </c>
    </row>
    <row r="101" customFormat="false" ht="15" hidden="false" customHeight="true" outlineLevel="0" collapsed="false">
      <c r="A101" s="16" t="s">
        <v>487</v>
      </c>
      <c r="B101" s="16" t="s">
        <v>488</v>
      </c>
      <c r="C101" s="16" t="s">
        <v>333</v>
      </c>
      <c r="D101" s="16" t="s">
        <v>489</v>
      </c>
      <c r="E101" s="16" t="s">
        <v>71</v>
      </c>
      <c r="F101" s="16" t="s">
        <v>72</v>
      </c>
      <c r="G101" s="16" t="s">
        <v>72</v>
      </c>
      <c r="H101" s="16"/>
      <c r="I101" s="16" t="s">
        <v>73</v>
      </c>
      <c r="J101" s="16" t="s">
        <v>490</v>
      </c>
      <c r="K101" s="16" t="s">
        <v>491</v>
      </c>
      <c r="L101" s="16"/>
      <c r="M101" s="16" t="s">
        <v>77</v>
      </c>
      <c r="N101" s="16" t="s">
        <v>72</v>
      </c>
      <c r="O101" s="16" t="s">
        <v>20</v>
      </c>
      <c r="P101" s="16" t="s">
        <v>492</v>
      </c>
      <c r="Q101" s="16" t="s">
        <v>492</v>
      </c>
      <c r="R101" s="16" t="s">
        <v>72</v>
      </c>
      <c r="S101" s="16" t="s">
        <v>72</v>
      </c>
      <c r="T101" s="16" t="s">
        <v>72</v>
      </c>
      <c r="U101" s="16" t="s">
        <v>493</v>
      </c>
    </row>
    <row r="102" customFormat="false" ht="15" hidden="false" customHeight="true" outlineLevel="0" collapsed="false">
      <c r="A102" s="16" t="s">
        <v>243</v>
      </c>
      <c r="B102" s="16" t="s">
        <v>488</v>
      </c>
      <c r="C102" s="16" t="s">
        <v>333</v>
      </c>
      <c r="D102" s="16" t="s">
        <v>494</v>
      </c>
      <c r="E102" s="16" t="s">
        <v>71</v>
      </c>
      <c r="F102" s="16" t="s">
        <v>72</v>
      </c>
      <c r="G102" s="16" t="s">
        <v>72</v>
      </c>
      <c r="H102" s="16"/>
      <c r="I102" s="16" t="s">
        <v>73</v>
      </c>
      <c r="J102" s="16" t="s">
        <v>495</v>
      </c>
      <c r="K102" s="16" t="s">
        <v>496</v>
      </c>
      <c r="L102" s="16"/>
      <c r="M102" s="16" t="s">
        <v>77</v>
      </c>
      <c r="N102" s="16" t="s">
        <v>72</v>
      </c>
      <c r="O102" s="16" t="s">
        <v>20</v>
      </c>
      <c r="P102" s="16" t="s">
        <v>492</v>
      </c>
      <c r="Q102" s="16" t="s">
        <v>492</v>
      </c>
      <c r="R102" s="16" t="s">
        <v>72</v>
      </c>
      <c r="S102" s="16" t="s">
        <v>72</v>
      </c>
      <c r="T102" s="16" t="s">
        <v>72</v>
      </c>
      <c r="U102" s="16" t="s">
        <v>497</v>
      </c>
    </row>
    <row r="103" customFormat="false" ht="15" hidden="false" customHeight="true" outlineLevel="0" collapsed="false">
      <c r="A103" s="16" t="s">
        <v>498</v>
      </c>
      <c r="B103" s="16" t="s">
        <v>488</v>
      </c>
      <c r="C103" s="16" t="s">
        <v>333</v>
      </c>
      <c r="D103" s="16" t="s">
        <v>499</v>
      </c>
      <c r="E103" s="16" t="s">
        <v>71</v>
      </c>
      <c r="F103" s="16" t="s">
        <v>72</v>
      </c>
      <c r="G103" s="16" t="s">
        <v>72</v>
      </c>
      <c r="H103" s="16"/>
      <c r="I103" s="16" t="s">
        <v>73</v>
      </c>
      <c r="J103" s="16" t="s">
        <v>495</v>
      </c>
      <c r="K103" s="16" t="s">
        <v>500</v>
      </c>
      <c r="L103" s="16"/>
      <c r="M103" s="16" t="s">
        <v>77</v>
      </c>
      <c r="N103" s="16" t="s">
        <v>72</v>
      </c>
      <c r="O103" s="16" t="s">
        <v>105</v>
      </c>
      <c r="P103" s="16" t="s">
        <v>492</v>
      </c>
      <c r="Q103" s="16"/>
      <c r="R103" s="16" t="s">
        <v>72</v>
      </c>
      <c r="S103" s="16" t="s">
        <v>72</v>
      </c>
      <c r="T103" s="16" t="s">
        <v>72</v>
      </c>
      <c r="U103" s="16" t="s">
        <v>501</v>
      </c>
    </row>
    <row r="104" customFormat="false" ht="15" hidden="false" customHeight="true" outlineLevel="0" collapsed="false">
      <c r="A104" s="16" t="s">
        <v>502</v>
      </c>
      <c r="B104" s="16" t="s">
        <v>488</v>
      </c>
      <c r="C104" s="16" t="s">
        <v>503</v>
      </c>
      <c r="D104" s="16" t="s">
        <v>504</v>
      </c>
      <c r="E104" s="16" t="s">
        <v>71</v>
      </c>
      <c r="F104" s="16" t="s">
        <v>71</v>
      </c>
      <c r="G104" s="16" t="s">
        <v>72</v>
      </c>
      <c r="H104" s="16"/>
      <c r="I104" s="16" t="s">
        <v>73</v>
      </c>
      <c r="J104" s="16" t="s">
        <v>505</v>
      </c>
      <c r="K104" s="16" t="s">
        <v>506</v>
      </c>
      <c r="L104" s="16"/>
      <c r="M104" s="16" t="s">
        <v>77</v>
      </c>
      <c r="N104" s="16" t="s">
        <v>72</v>
      </c>
      <c r="O104" s="16" t="s">
        <v>20</v>
      </c>
      <c r="P104" s="16" t="s">
        <v>492</v>
      </c>
      <c r="Q104" s="16" t="s">
        <v>492</v>
      </c>
      <c r="R104" s="16" t="s">
        <v>72</v>
      </c>
      <c r="S104" s="16" t="s">
        <v>72</v>
      </c>
      <c r="T104" s="16" t="s">
        <v>72</v>
      </c>
      <c r="U104" s="16" t="s">
        <v>507</v>
      </c>
    </row>
    <row r="105" customFormat="false" ht="15" hidden="false" customHeight="true" outlineLevel="0" collapsed="false">
      <c r="A105" s="16" t="s">
        <v>508</v>
      </c>
      <c r="B105" s="16" t="s">
        <v>488</v>
      </c>
      <c r="C105" s="16" t="s">
        <v>250</v>
      </c>
      <c r="D105" s="16" t="s">
        <v>509</v>
      </c>
      <c r="E105" s="16" t="s">
        <v>71</v>
      </c>
      <c r="F105" s="16" t="s">
        <v>71</v>
      </c>
      <c r="G105" s="16" t="s">
        <v>72</v>
      </c>
      <c r="H105" s="16"/>
      <c r="I105" s="16" t="s">
        <v>73</v>
      </c>
      <c r="J105" s="16" t="s">
        <v>510</v>
      </c>
      <c r="K105" s="16"/>
      <c r="L105" s="16"/>
      <c r="M105" s="16" t="s">
        <v>77</v>
      </c>
      <c r="N105" s="16" t="s">
        <v>72</v>
      </c>
      <c r="O105" s="16" t="s">
        <v>20</v>
      </c>
      <c r="P105" s="16" t="s">
        <v>492</v>
      </c>
      <c r="Q105" s="16" t="s">
        <v>492</v>
      </c>
      <c r="R105" s="16" t="s">
        <v>72</v>
      </c>
      <c r="S105" s="16" t="s">
        <v>72</v>
      </c>
      <c r="T105" s="16" t="s">
        <v>72</v>
      </c>
      <c r="U105" s="16" t="s">
        <v>511</v>
      </c>
    </row>
    <row r="106" customFormat="false" ht="15" hidden="false" customHeight="true" outlineLevel="0" collapsed="false">
      <c r="A106" s="16" t="s">
        <v>512</v>
      </c>
      <c r="B106" s="16" t="s">
        <v>513</v>
      </c>
      <c r="C106" s="16" t="s">
        <v>225</v>
      </c>
      <c r="D106" s="16" t="s">
        <v>514</v>
      </c>
      <c r="E106" s="16" t="s">
        <v>71</v>
      </c>
      <c r="F106" s="16" t="s">
        <v>71</v>
      </c>
      <c r="G106" s="16" t="s">
        <v>72</v>
      </c>
      <c r="H106" s="16"/>
      <c r="I106" s="16" t="s">
        <v>252</v>
      </c>
      <c r="J106" s="16" t="s">
        <v>515</v>
      </c>
      <c r="K106" s="16" t="s">
        <v>516</v>
      </c>
      <c r="L106" s="16"/>
      <c r="M106" s="16" t="s">
        <v>77</v>
      </c>
      <c r="N106" s="16" t="s">
        <v>72</v>
      </c>
      <c r="O106" s="16" t="s">
        <v>20</v>
      </c>
      <c r="P106" s="16" t="s">
        <v>492</v>
      </c>
      <c r="Q106" s="16" t="s">
        <v>492</v>
      </c>
      <c r="R106" s="16" t="s">
        <v>72</v>
      </c>
      <c r="S106" s="16" t="s">
        <v>72</v>
      </c>
      <c r="T106" s="16" t="s">
        <v>72</v>
      </c>
      <c r="U106" s="16" t="s">
        <v>517</v>
      </c>
    </row>
    <row r="107" customFormat="false" ht="15" hidden="false" customHeight="true" outlineLevel="0" collapsed="false">
      <c r="A107" s="16" t="s">
        <v>518</v>
      </c>
      <c r="B107" s="16" t="s">
        <v>513</v>
      </c>
      <c r="C107" s="16" t="s">
        <v>250</v>
      </c>
      <c r="D107" s="16" t="s">
        <v>519</v>
      </c>
      <c r="E107" s="16" t="s">
        <v>71</v>
      </c>
      <c r="F107" s="16" t="s">
        <v>71</v>
      </c>
      <c r="G107" s="16" t="s">
        <v>72</v>
      </c>
      <c r="H107" s="16"/>
      <c r="I107" s="16" t="s">
        <v>252</v>
      </c>
      <c r="J107" s="16" t="s">
        <v>520</v>
      </c>
      <c r="K107" s="16"/>
      <c r="L107" s="16"/>
      <c r="M107" s="16" t="s">
        <v>77</v>
      </c>
      <c r="N107" s="16" t="s">
        <v>72</v>
      </c>
      <c r="O107" s="16" t="s">
        <v>20</v>
      </c>
      <c r="P107" s="16" t="s">
        <v>372</v>
      </c>
      <c r="Q107" s="16" t="s">
        <v>372</v>
      </c>
      <c r="R107" s="16" t="s">
        <v>72</v>
      </c>
      <c r="S107" s="16" t="s">
        <v>72</v>
      </c>
      <c r="T107" s="16" t="s">
        <v>72</v>
      </c>
      <c r="U107" s="16" t="s">
        <v>521</v>
      </c>
    </row>
    <row r="108" customFormat="false" ht="15" hidden="false" customHeight="true" outlineLevel="0" collapsed="false">
      <c r="A108" s="16" t="s">
        <v>522</v>
      </c>
      <c r="B108" s="16" t="s">
        <v>488</v>
      </c>
      <c r="C108" s="16" t="s">
        <v>523</v>
      </c>
      <c r="D108" s="16" t="s">
        <v>524</v>
      </c>
      <c r="E108" s="16" t="s">
        <v>71</v>
      </c>
      <c r="F108" s="16" t="s">
        <v>72</v>
      </c>
      <c r="G108" s="16" t="s">
        <v>72</v>
      </c>
      <c r="H108" s="16"/>
      <c r="I108" s="16" t="s">
        <v>73</v>
      </c>
      <c r="J108" s="16" t="s">
        <v>525</v>
      </c>
      <c r="K108" s="16" t="s">
        <v>526</v>
      </c>
      <c r="L108" s="16"/>
      <c r="M108" s="16" t="s">
        <v>77</v>
      </c>
      <c r="N108" s="16" t="s">
        <v>72</v>
      </c>
      <c r="O108" s="16" t="s">
        <v>20</v>
      </c>
      <c r="P108" s="16" t="s">
        <v>372</v>
      </c>
      <c r="Q108" s="16" t="s">
        <v>372</v>
      </c>
      <c r="R108" s="16" t="s">
        <v>72</v>
      </c>
      <c r="S108" s="16" t="s">
        <v>72</v>
      </c>
      <c r="T108" s="16" t="s">
        <v>72</v>
      </c>
      <c r="U108" s="16" t="s">
        <v>527</v>
      </c>
    </row>
    <row r="109" customFormat="false" ht="15" hidden="false" customHeight="true" outlineLevel="0" collapsed="false">
      <c r="A109" s="16" t="s">
        <v>528</v>
      </c>
      <c r="B109" s="16" t="s">
        <v>488</v>
      </c>
      <c r="C109" s="16" t="s">
        <v>333</v>
      </c>
      <c r="D109" s="16" t="s">
        <v>529</v>
      </c>
      <c r="E109" s="16" t="s">
        <v>71</v>
      </c>
      <c r="F109" s="16" t="s">
        <v>72</v>
      </c>
      <c r="G109" s="16" t="s">
        <v>72</v>
      </c>
      <c r="H109" s="16"/>
      <c r="I109" s="16" t="s">
        <v>73</v>
      </c>
      <c r="J109" s="16" t="s">
        <v>530</v>
      </c>
      <c r="K109" s="16"/>
      <c r="L109" s="16"/>
      <c r="M109" s="16" t="s">
        <v>77</v>
      </c>
      <c r="N109" s="16" t="s">
        <v>72</v>
      </c>
      <c r="O109" s="16" t="s">
        <v>20</v>
      </c>
      <c r="P109" s="16" t="s">
        <v>372</v>
      </c>
      <c r="Q109" s="16" t="s">
        <v>372</v>
      </c>
      <c r="R109" s="16" t="s">
        <v>72</v>
      </c>
      <c r="S109" s="16" t="s">
        <v>72</v>
      </c>
      <c r="T109" s="16" t="s">
        <v>72</v>
      </c>
      <c r="U109" s="16" t="s">
        <v>531</v>
      </c>
    </row>
    <row r="110" customFormat="false" ht="15" hidden="false" customHeight="true" outlineLevel="0" collapsed="false">
      <c r="A110" s="16" t="s">
        <v>532</v>
      </c>
      <c r="B110" s="16" t="s">
        <v>488</v>
      </c>
      <c r="C110" s="16" t="s">
        <v>333</v>
      </c>
      <c r="D110" s="16" t="s">
        <v>533</v>
      </c>
      <c r="E110" s="16" t="s">
        <v>71</v>
      </c>
      <c r="F110" s="16" t="s">
        <v>72</v>
      </c>
      <c r="G110" s="16" t="s">
        <v>72</v>
      </c>
      <c r="H110" s="16"/>
      <c r="I110" s="16" t="s">
        <v>73</v>
      </c>
      <c r="J110" s="16" t="s">
        <v>534</v>
      </c>
      <c r="K110" s="16"/>
      <c r="L110" s="16"/>
      <c r="M110" s="16" t="s">
        <v>77</v>
      </c>
      <c r="N110" s="16" t="s">
        <v>72</v>
      </c>
      <c r="O110" s="16" t="s">
        <v>20</v>
      </c>
      <c r="P110" s="16" t="s">
        <v>372</v>
      </c>
      <c r="Q110" s="16" t="s">
        <v>372</v>
      </c>
      <c r="R110" s="16" t="s">
        <v>72</v>
      </c>
      <c r="S110" s="16" t="s">
        <v>72</v>
      </c>
      <c r="T110" s="16" t="s">
        <v>72</v>
      </c>
      <c r="U110" s="16" t="s">
        <v>535</v>
      </c>
    </row>
    <row r="111" customFormat="false" ht="15" hidden="false" customHeight="true" outlineLevel="0" collapsed="false">
      <c r="A111" s="16" t="s">
        <v>536</v>
      </c>
      <c r="B111" s="16" t="s">
        <v>488</v>
      </c>
      <c r="C111" s="16" t="s">
        <v>250</v>
      </c>
      <c r="D111" s="16" t="s">
        <v>537</v>
      </c>
      <c r="E111" s="16" t="s">
        <v>71</v>
      </c>
      <c r="F111" s="16" t="s">
        <v>71</v>
      </c>
      <c r="G111" s="16" t="s">
        <v>72</v>
      </c>
      <c r="H111" s="16"/>
      <c r="I111" s="16" t="s">
        <v>73</v>
      </c>
      <c r="J111" s="16" t="s">
        <v>538</v>
      </c>
      <c r="K111" s="16"/>
      <c r="L111" s="16"/>
      <c r="M111" s="16" t="s">
        <v>77</v>
      </c>
      <c r="N111" s="16" t="s">
        <v>72</v>
      </c>
      <c r="O111" s="16" t="s">
        <v>20</v>
      </c>
      <c r="P111" s="16" t="s">
        <v>372</v>
      </c>
      <c r="Q111" s="16" t="s">
        <v>372</v>
      </c>
      <c r="R111" s="16" t="s">
        <v>72</v>
      </c>
      <c r="S111" s="16" t="s">
        <v>72</v>
      </c>
      <c r="T111" s="16" t="s">
        <v>72</v>
      </c>
      <c r="U111" s="16" t="s">
        <v>539</v>
      </c>
    </row>
    <row r="112" customFormat="false" ht="15" hidden="false" customHeight="true" outlineLevel="0" collapsed="false">
      <c r="A112" s="16" t="s">
        <v>540</v>
      </c>
      <c r="B112" s="16" t="s">
        <v>488</v>
      </c>
      <c r="C112" s="16" t="s">
        <v>333</v>
      </c>
      <c r="D112" s="16" t="s">
        <v>541</v>
      </c>
      <c r="E112" s="16" t="s">
        <v>71</v>
      </c>
      <c r="F112" s="16" t="s">
        <v>72</v>
      </c>
      <c r="G112" s="16" t="s">
        <v>72</v>
      </c>
      <c r="H112" s="16"/>
      <c r="I112" s="16" t="s">
        <v>73</v>
      </c>
      <c r="J112" s="16" t="s">
        <v>542</v>
      </c>
      <c r="K112" s="16"/>
      <c r="L112" s="16"/>
      <c r="M112" s="16" t="s">
        <v>77</v>
      </c>
      <c r="N112" s="16" t="s">
        <v>72</v>
      </c>
      <c r="O112" s="16" t="s">
        <v>20</v>
      </c>
      <c r="P112" s="16" t="s">
        <v>372</v>
      </c>
      <c r="Q112" s="16" t="s">
        <v>372</v>
      </c>
      <c r="R112" s="16" t="s">
        <v>72</v>
      </c>
      <c r="S112" s="16" t="s">
        <v>72</v>
      </c>
      <c r="T112" s="16" t="s">
        <v>72</v>
      </c>
      <c r="U112" s="16" t="s">
        <v>543</v>
      </c>
    </row>
    <row r="113" customFormat="false" ht="15" hidden="false" customHeight="true" outlineLevel="0" collapsed="false">
      <c r="A113" s="16" t="s">
        <v>544</v>
      </c>
      <c r="B113" s="16" t="s">
        <v>488</v>
      </c>
      <c r="C113" s="16" t="s">
        <v>545</v>
      </c>
      <c r="D113" s="16" t="s">
        <v>546</v>
      </c>
      <c r="E113" s="16" t="s">
        <v>71</v>
      </c>
      <c r="F113" s="16" t="s">
        <v>72</v>
      </c>
      <c r="G113" s="16" t="s">
        <v>72</v>
      </c>
      <c r="H113" s="16"/>
      <c r="I113" s="16" t="s">
        <v>73</v>
      </c>
      <c r="J113" s="16" t="s">
        <v>547</v>
      </c>
      <c r="K113" s="16"/>
      <c r="L113" s="16"/>
      <c r="M113" s="16" t="s">
        <v>77</v>
      </c>
      <c r="N113" s="16" t="s">
        <v>72</v>
      </c>
      <c r="O113" s="16" t="s">
        <v>20</v>
      </c>
      <c r="P113" s="16" t="s">
        <v>372</v>
      </c>
      <c r="Q113" s="16" t="s">
        <v>372</v>
      </c>
      <c r="R113" s="16" t="s">
        <v>72</v>
      </c>
      <c r="S113" s="16" t="s">
        <v>72</v>
      </c>
      <c r="T113" s="16" t="s">
        <v>72</v>
      </c>
      <c r="U113" s="16" t="s">
        <v>548</v>
      </c>
    </row>
    <row r="114" customFormat="false" ht="15" hidden="false" customHeight="true" outlineLevel="0" collapsed="false">
      <c r="A114" s="16" t="s">
        <v>549</v>
      </c>
      <c r="B114" s="16" t="s">
        <v>488</v>
      </c>
      <c r="C114" s="16" t="s">
        <v>550</v>
      </c>
      <c r="D114" s="16" t="s">
        <v>551</v>
      </c>
      <c r="E114" s="16" t="s">
        <v>71</v>
      </c>
      <c r="F114" s="16" t="s">
        <v>72</v>
      </c>
      <c r="G114" s="16" t="s">
        <v>72</v>
      </c>
      <c r="H114" s="16"/>
      <c r="I114" s="16" t="s">
        <v>73</v>
      </c>
      <c r="J114" s="16" t="s">
        <v>552</v>
      </c>
      <c r="K114" s="16"/>
      <c r="L114" s="16"/>
      <c r="M114" s="16" t="s">
        <v>77</v>
      </c>
      <c r="N114" s="16" t="s">
        <v>72</v>
      </c>
      <c r="O114" s="16" t="s">
        <v>20</v>
      </c>
      <c r="P114" s="16" t="s">
        <v>372</v>
      </c>
      <c r="Q114" s="16" t="s">
        <v>372</v>
      </c>
      <c r="R114" s="16" t="s">
        <v>72</v>
      </c>
      <c r="S114" s="16" t="s">
        <v>72</v>
      </c>
      <c r="T114" s="16" t="s">
        <v>72</v>
      </c>
      <c r="U114" s="16" t="s">
        <v>553</v>
      </c>
    </row>
    <row r="115" customFormat="false" ht="15" hidden="false" customHeight="true" outlineLevel="0" collapsed="false">
      <c r="A115" s="16" t="s">
        <v>554</v>
      </c>
      <c r="B115" s="16" t="s">
        <v>488</v>
      </c>
      <c r="C115" s="16" t="s">
        <v>250</v>
      </c>
      <c r="D115" s="16" t="s">
        <v>555</v>
      </c>
      <c r="E115" s="16" t="s">
        <v>71</v>
      </c>
      <c r="F115" s="16" t="s">
        <v>71</v>
      </c>
      <c r="G115" s="16" t="s">
        <v>72</v>
      </c>
      <c r="H115" s="16"/>
      <c r="I115" s="16" t="s">
        <v>73</v>
      </c>
      <c r="J115" s="16" t="s">
        <v>556</v>
      </c>
      <c r="K115" s="16"/>
      <c r="L115" s="16"/>
      <c r="M115" s="16" t="s">
        <v>77</v>
      </c>
      <c r="N115" s="16" t="s">
        <v>72</v>
      </c>
      <c r="O115" s="16" t="s">
        <v>20</v>
      </c>
      <c r="P115" s="16" t="s">
        <v>372</v>
      </c>
      <c r="Q115" s="16" t="s">
        <v>372</v>
      </c>
      <c r="R115" s="16" t="s">
        <v>72</v>
      </c>
      <c r="S115" s="16" t="s">
        <v>72</v>
      </c>
      <c r="T115" s="16" t="s">
        <v>72</v>
      </c>
      <c r="U115" s="16" t="s">
        <v>557</v>
      </c>
    </row>
    <row r="116" customFormat="false" ht="15" hidden="false" customHeight="true" outlineLevel="0" collapsed="false">
      <c r="A116" s="16" t="s">
        <v>558</v>
      </c>
      <c r="B116" s="16" t="s">
        <v>488</v>
      </c>
      <c r="C116" s="16" t="s">
        <v>216</v>
      </c>
      <c r="D116" s="16" t="s">
        <v>559</v>
      </c>
      <c r="E116" s="16" t="s">
        <v>71</v>
      </c>
      <c r="F116" s="16" t="s">
        <v>71</v>
      </c>
      <c r="G116" s="16" t="s">
        <v>72</v>
      </c>
      <c r="H116" s="16"/>
      <c r="I116" s="16" t="s">
        <v>73</v>
      </c>
      <c r="J116" s="16" t="s">
        <v>560</v>
      </c>
      <c r="K116" s="16"/>
      <c r="L116" s="16"/>
      <c r="M116" s="16" t="s">
        <v>77</v>
      </c>
      <c r="N116" s="16" t="s">
        <v>72</v>
      </c>
      <c r="O116" s="16" t="s">
        <v>20</v>
      </c>
      <c r="P116" s="16" t="s">
        <v>372</v>
      </c>
      <c r="Q116" s="16" t="s">
        <v>372</v>
      </c>
      <c r="R116" s="16" t="s">
        <v>72</v>
      </c>
      <c r="S116" s="16" t="s">
        <v>72</v>
      </c>
      <c r="T116" s="16" t="s">
        <v>72</v>
      </c>
      <c r="U116" s="16" t="s">
        <v>561</v>
      </c>
    </row>
    <row r="117" customFormat="false" ht="15" hidden="false" customHeight="true" outlineLevel="0" collapsed="false">
      <c r="A117" s="16" t="s">
        <v>562</v>
      </c>
      <c r="B117" s="16" t="s">
        <v>488</v>
      </c>
      <c r="C117" s="16" t="s">
        <v>250</v>
      </c>
      <c r="D117" s="16" t="s">
        <v>563</v>
      </c>
      <c r="E117" s="16" t="s">
        <v>71</v>
      </c>
      <c r="F117" s="16" t="s">
        <v>72</v>
      </c>
      <c r="G117" s="16" t="s">
        <v>72</v>
      </c>
      <c r="H117" s="16"/>
      <c r="I117" s="16" t="s">
        <v>73</v>
      </c>
      <c r="J117" s="16" t="s">
        <v>564</v>
      </c>
      <c r="K117" s="16"/>
      <c r="L117" s="16"/>
      <c r="M117" s="16" t="s">
        <v>77</v>
      </c>
      <c r="N117" s="16" t="s">
        <v>72</v>
      </c>
      <c r="O117" s="16" t="s">
        <v>20</v>
      </c>
      <c r="P117" s="16" t="s">
        <v>372</v>
      </c>
      <c r="Q117" s="16" t="s">
        <v>372</v>
      </c>
      <c r="R117" s="16" t="s">
        <v>72</v>
      </c>
      <c r="S117" s="16" t="s">
        <v>72</v>
      </c>
      <c r="T117" s="16" t="s">
        <v>72</v>
      </c>
      <c r="U117" s="16" t="s">
        <v>565</v>
      </c>
    </row>
    <row r="118" customFormat="false" ht="15" hidden="false" customHeight="true" outlineLevel="0" collapsed="false">
      <c r="A118" s="16" t="s">
        <v>566</v>
      </c>
      <c r="B118" s="16" t="s">
        <v>488</v>
      </c>
      <c r="C118" s="16" t="s">
        <v>250</v>
      </c>
      <c r="D118" s="16" t="s">
        <v>567</v>
      </c>
      <c r="E118" s="16" t="s">
        <v>71</v>
      </c>
      <c r="F118" s="16" t="s">
        <v>71</v>
      </c>
      <c r="G118" s="16" t="s">
        <v>72</v>
      </c>
      <c r="H118" s="16"/>
      <c r="I118" s="16" t="s">
        <v>73</v>
      </c>
      <c r="J118" s="16" t="s">
        <v>568</v>
      </c>
      <c r="K118" s="16"/>
      <c r="L118" s="16"/>
      <c r="M118" s="16" t="s">
        <v>77</v>
      </c>
      <c r="N118" s="16" t="s">
        <v>72</v>
      </c>
      <c r="O118" s="16" t="s">
        <v>105</v>
      </c>
      <c r="P118" s="16" t="s">
        <v>372</v>
      </c>
      <c r="Q118" s="16"/>
      <c r="R118" s="16" t="s">
        <v>72</v>
      </c>
      <c r="S118" s="16" t="s">
        <v>72</v>
      </c>
      <c r="T118" s="16" t="s">
        <v>72</v>
      </c>
      <c r="U118" s="16" t="s">
        <v>569</v>
      </c>
    </row>
    <row r="119" customFormat="false" ht="15" hidden="false" customHeight="true" outlineLevel="0" collapsed="false">
      <c r="A119" s="16" t="s">
        <v>570</v>
      </c>
      <c r="B119" s="16" t="s">
        <v>488</v>
      </c>
      <c r="C119" s="16" t="s">
        <v>571</v>
      </c>
      <c r="D119" s="16" t="s">
        <v>572</v>
      </c>
      <c r="E119" s="16" t="s">
        <v>71</v>
      </c>
      <c r="F119" s="16" t="s">
        <v>72</v>
      </c>
      <c r="G119" s="16" t="s">
        <v>72</v>
      </c>
      <c r="H119" s="16"/>
      <c r="I119" s="16" t="s">
        <v>73</v>
      </c>
      <c r="J119" s="16" t="s">
        <v>573</v>
      </c>
      <c r="K119" s="16"/>
      <c r="L119" s="16"/>
      <c r="M119" s="16" t="s">
        <v>77</v>
      </c>
      <c r="N119" s="16" t="s">
        <v>72</v>
      </c>
      <c r="O119" s="16" t="s">
        <v>20</v>
      </c>
      <c r="P119" s="16" t="s">
        <v>372</v>
      </c>
      <c r="Q119" s="16" t="s">
        <v>372</v>
      </c>
      <c r="R119" s="16" t="s">
        <v>72</v>
      </c>
      <c r="S119" s="16" t="s">
        <v>72</v>
      </c>
      <c r="T119" s="16" t="s">
        <v>72</v>
      </c>
      <c r="U119" s="16" t="s">
        <v>574</v>
      </c>
    </row>
    <row r="120" customFormat="false" ht="15" hidden="false" customHeight="true" outlineLevel="0" collapsed="false">
      <c r="A120" s="16" t="s">
        <v>575</v>
      </c>
      <c r="B120" s="16" t="s">
        <v>488</v>
      </c>
      <c r="C120" s="16" t="s">
        <v>576</v>
      </c>
      <c r="D120" s="16" t="s">
        <v>577</v>
      </c>
      <c r="E120" s="16" t="s">
        <v>71</v>
      </c>
      <c r="F120" s="16" t="s">
        <v>72</v>
      </c>
      <c r="G120" s="16" t="s">
        <v>72</v>
      </c>
      <c r="H120" s="16"/>
      <c r="I120" s="16" t="s">
        <v>73</v>
      </c>
      <c r="J120" s="16" t="s">
        <v>578</v>
      </c>
      <c r="K120" s="16"/>
      <c r="L120" s="16"/>
      <c r="M120" s="16" t="s">
        <v>77</v>
      </c>
      <c r="N120" s="16" t="s">
        <v>72</v>
      </c>
      <c r="O120" s="16" t="s">
        <v>20</v>
      </c>
      <c r="P120" s="16" t="s">
        <v>372</v>
      </c>
      <c r="Q120" s="16" t="s">
        <v>372</v>
      </c>
      <c r="R120" s="16" t="s">
        <v>72</v>
      </c>
      <c r="S120" s="16" t="s">
        <v>72</v>
      </c>
      <c r="T120" s="16" t="s">
        <v>72</v>
      </c>
      <c r="U120" s="16" t="s">
        <v>579</v>
      </c>
    </row>
    <row r="121" customFormat="false" ht="15" hidden="false" customHeight="true" outlineLevel="0" collapsed="false">
      <c r="A121" s="16" t="s">
        <v>580</v>
      </c>
      <c r="B121" s="16" t="s">
        <v>488</v>
      </c>
      <c r="C121" s="16" t="s">
        <v>576</v>
      </c>
      <c r="D121" s="16" t="s">
        <v>581</v>
      </c>
      <c r="E121" s="16" t="s">
        <v>71</v>
      </c>
      <c r="F121" s="16" t="s">
        <v>72</v>
      </c>
      <c r="G121" s="16" t="s">
        <v>72</v>
      </c>
      <c r="H121" s="16"/>
      <c r="I121" s="16" t="s">
        <v>73</v>
      </c>
      <c r="J121" s="16" t="s">
        <v>582</v>
      </c>
      <c r="K121" s="16"/>
      <c r="L121" s="16"/>
      <c r="M121" s="16" t="s">
        <v>77</v>
      </c>
      <c r="N121" s="16" t="s">
        <v>72</v>
      </c>
      <c r="O121" s="16" t="s">
        <v>20</v>
      </c>
      <c r="P121" s="16" t="s">
        <v>372</v>
      </c>
      <c r="Q121" s="16" t="s">
        <v>372</v>
      </c>
      <c r="R121" s="16" t="s">
        <v>72</v>
      </c>
      <c r="S121" s="16" t="s">
        <v>72</v>
      </c>
      <c r="T121" s="16" t="s">
        <v>72</v>
      </c>
      <c r="U121" s="16" t="s">
        <v>583</v>
      </c>
    </row>
    <row r="122" customFormat="false" ht="15" hidden="false" customHeight="true" outlineLevel="0" collapsed="false">
      <c r="A122" s="16" t="s">
        <v>584</v>
      </c>
      <c r="B122" s="16" t="s">
        <v>488</v>
      </c>
      <c r="C122" s="16" t="s">
        <v>333</v>
      </c>
      <c r="D122" s="16" t="s">
        <v>585</v>
      </c>
      <c r="E122" s="16" t="s">
        <v>71</v>
      </c>
      <c r="F122" s="16" t="s">
        <v>71</v>
      </c>
      <c r="G122" s="16" t="s">
        <v>72</v>
      </c>
      <c r="H122" s="16"/>
      <c r="I122" s="16" t="s">
        <v>73</v>
      </c>
      <c r="J122" s="16" t="s">
        <v>586</v>
      </c>
      <c r="K122" s="16"/>
      <c r="L122" s="16"/>
      <c r="M122" s="16" t="s">
        <v>77</v>
      </c>
      <c r="N122" s="16" t="s">
        <v>72</v>
      </c>
      <c r="O122" s="16" t="s">
        <v>20</v>
      </c>
      <c r="P122" s="16" t="s">
        <v>372</v>
      </c>
      <c r="Q122" s="16" t="s">
        <v>372</v>
      </c>
      <c r="R122" s="16" t="s">
        <v>72</v>
      </c>
      <c r="S122" s="16" t="s">
        <v>72</v>
      </c>
      <c r="T122" s="16" t="s">
        <v>72</v>
      </c>
      <c r="U122" s="16" t="s">
        <v>587</v>
      </c>
    </row>
    <row r="123" customFormat="false" ht="15" hidden="false" customHeight="true" outlineLevel="0" collapsed="false">
      <c r="A123" s="16" t="s">
        <v>588</v>
      </c>
      <c r="B123" s="16" t="s">
        <v>488</v>
      </c>
      <c r="C123" s="16" t="s">
        <v>333</v>
      </c>
      <c r="D123" s="16" t="s">
        <v>589</v>
      </c>
      <c r="E123" s="16" t="s">
        <v>71</v>
      </c>
      <c r="F123" s="16" t="s">
        <v>71</v>
      </c>
      <c r="G123" s="16" t="s">
        <v>72</v>
      </c>
      <c r="H123" s="16"/>
      <c r="I123" s="16" t="s">
        <v>73</v>
      </c>
      <c r="J123" s="16" t="s">
        <v>590</v>
      </c>
      <c r="K123" s="16"/>
      <c r="L123" s="16"/>
      <c r="M123" s="16" t="s">
        <v>77</v>
      </c>
      <c r="N123" s="16" t="s">
        <v>72</v>
      </c>
      <c r="O123" s="16" t="s">
        <v>20</v>
      </c>
      <c r="P123" s="16" t="s">
        <v>372</v>
      </c>
      <c r="Q123" s="16" t="s">
        <v>372</v>
      </c>
      <c r="R123" s="16" t="s">
        <v>72</v>
      </c>
      <c r="S123" s="16" t="s">
        <v>72</v>
      </c>
      <c r="T123" s="16" t="s">
        <v>72</v>
      </c>
      <c r="U123" s="16" t="s">
        <v>591</v>
      </c>
    </row>
    <row r="124" customFormat="false" ht="15" hidden="false" customHeight="true" outlineLevel="0" collapsed="false">
      <c r="A124" s="16" t="s">
        <v>592</v>
      </c>
      <c r="B124" s="16" t="s">
        <v>488</v>
      </c>
      <c r="C124" s="16" t="s">
        <v>593</v>
      </c>
      <c r="D124" s="16" t="s">
        <v>594</v>
      </c>
      <c r="E124" s="16" t="s">
        <v>71</v>
      </c>
      <c r="F124" s="16" t="s">
        <v>71</v>
      </c>
      <c r="G124" s="16" t="s">
        <v>72</v>
      </c>
      <c r="H124" s="16"/>
      <c r="I124" s="16" t="s">
        <v>73</v>
      </c>
      <c r="J124" s="16" t="s">
        <v>595</v>
      </c>
      <c r="K124" s="16"/>
      <c r="L124" s="16"/>
      <c r="M124" s="16" t="s">
        <v>77</v>
      </c>
      <c r="N124" s="16" t="s">
        <v>72</v>
      </c>
      <c r="O124" s="16" t="s">
        <v>20</v>
      </c>
      <c r="P124" s="16" t="s">
        <v>372</v>
      </c>
      <c r="Q124" s="16" t="s">
        <v>372</v>
      </c>
      <c r="R124" s="16" t="s">
        <v>72</v>
      </c>
      <c r="S124" s="16" t="s">
        <v>72</v>
      </c>
      <c r="T124" s="16" t="s">
        <v>72</v>
      </c>
      <c r="U124" s="16" t="s">
        <v>596</v>
      </c>
    </row>
    <row r="125" customFormat="false" ht="15" hidden="false" customHeight="true" outlineLevel="0" collapsed="false">
      <c r="A125" s="16" t="s">
        <v>597</v>
      </c>
      <c r="B125" s="16" t="s">
        <v>488</v>
      </c>
      <c r="C125" s="16" t="s">
        <v>598</v>
      </c>
      <c r="D125" s="16" t="s">
        <v>599</v>
      </c>
      <c r="E125" s="16" t="s">
        <v>71</v>
      </c>
      <c r="F125" s="16" t="s">
        <v>71</v>
      </c>
      <c r="G125" s="16" t="s">
        <v>72</v>
      </c>
      <c r="H125" s="16"/>
      <c r="I125" s="16" t="s">
        <v>73</v>
      </c>
      <c r="J125" s="16" t="s">
        <v>600</v>
      </c>
      <c r="K125" s="16"/>
      <c r="L125" s="16"/>
      <c r="M125" s="16" t="s">
        <v>77</v>
      </c>
      <c r="N125" s="16" t="s">
        <v>72</v>
      </c>
      <c r="O125" s="16" t="s">
        <v>20</v>
      </c>
      <c r="P125" s="16" t="s">
        <v>372</v>
      </c>
      <c r="Q125" s="16" t="s">
        <v>372</v>
      </c>
      <c r="R125" s="16" t="s">
        <v>72</v>
      </c>
      <c r="S125" s="16" t="s">
        <v>72</v>
      </c>
      <c r="T125" s="16" t="s">
        <v>72</v>
      </c>
      <c r="U125" s="16" t="s">
        <v>601</v>
      </c>
    </row>
    <row r="126" customFormat="false" ht="15" hidden="false" customHeight="true" outlineLevel="0" collapsed="false">
      <c r="A126" s="16" t="s">
        <v>602</v>
      </c>
      <c r="B126" s="16" t="s">
        <v>488</v>
      </c>
      <c r="C126" s="16" t="s">
        <v>576</v>
      </c>
      <c r="D126" s="16" t="s">
        <v>603</v>
      </c>
      <c r="E126" s="16" t="s">
        <v>71</v>
      </c>
      <c r="F126" s="16" t="s">
        <v>71</v>
      </c>
      <c r="G126" s="16" t="s">
        <v>72</v>
      </c>
      <c r="H126" s="16"/>
      <c r="I126" s="16" t="s">
        <v>73</v>
      </c>
      <c r="J126" s="16" t="s">
        <v>604</v>
      </c>
      <c r="K126" s="16"/>
      <c r="L126" s="16"/>
      <c r="M126" s="16" t="s">
        <v>77</v>
      </c>
      <c r="N126" s="16" t="s">
        <v>72</v>
      </c>
      <c r="O126" s="16" t="s">
        <v>20</v>
      </c>
      <c r="P126" s="16" t="s">
        <v>372</v>
      </c>
      <c r="Q126" s="16" t="s">
        <v>372</v>
      </c>
      <c r="R126" s="16" t="s">
        <v>72</v>
      </c>
      <c r="S126" s="16" t="s">
        <v>72</v>
      </c>
      <c r="T126" s="16" t="s">
        <v>72</v>
      </c>
      <c r="U126" s="16" t="s">
        <v>605</v>
      </c>
    </row>
    <row r="127" customFormat="false" ht="15" hidden="false" customHeight="true" outlineLevel="0" collapsed="false">
      <c r="A127" s="16" t="s">
        <v>606</v>
      </c>
      <c r="B127" s="16" t="s">
        <v>488</v>
      </c>
      <c r="C127" s="16" t="s">
        <v>333</v>
      </c>
      <c r="D127" s="16" t="s">
        <v>607</v>
      </c>
      <c r="E127" s="16" t="s">
        <v>71</v>
      </c>
      <c r="F127" s="16" t="s">
        <v>71</v>
      </c>
      <c r="G127" s="16" t="s">
        <v>72</v>
      </c>
      <c r="H127" s="16"/>
      <c r="I127" s="16" t="s">
        <v>73</v>
      </c>
      <c r="J127" s="16" t="s">
        <v>608</v>
      </c>
      <c r="K127" s="16"/>
      <c r="L127" s="16"/>
      <c r="M127" s="16" t="s">
        <v>77</v>
      </c>
      <c r="N127" s="16" t="s">
        <v>72</v>
      </c>
      <c r="O127" s="16" t="s">
        <v>20</v>
      </c>
      <c r="P127" s="16" t="s">
        <v>372</v>
      </c>
      <c r="Q127" s="16" t="s">
        <v>372</v>
      </c>
      <c r="R127" s="16" t="s">
        <v>72</v>
      </c>
      <c r="S127" s="16" t="s">
        <v>72</v>
      </c>
      <c r="T127" s="16" t="s">
        <v>72</v>
      </c>
      <c r="U127" s="16" t="s">
        <v>609</v>
      </c>
    </row>
    <row r="128" customFormat="false" ht="15" hidden="false" customHeight="true" outlineLevel="0" collapsed="false">
      <c r="A128" s="16" t="s">
        <v>610</v>
      </c>
      <c r="B128" s="16" t="s">
        <v>488</v>
      </c>
      <c r="C128" s="16" t="s">
        <v>333</v>
      </c>
      <c r="D128" s="16" t="s">
        <v>611</v>
      </c>
      <c r="E128" s="16" t="s">
        <v>71</v>
      </c>
      <c r="F128" s="16" t="s">
        <v>71</v>
      </c>
      <c r="G128" s="16" t="s">
        <v>72</v>
      </c>
      <c r="H128" s="16"/>
      <c r="I128" s="16" t="s">
        <v>73</v>
      </c>
      <c r="J128" s="16" t="s">
        <v>612</v>
      </c>
      <c r="K128" s="16"/>
      <c r="L128" s="16"/>
      <c r="M128" s="16" t="s">
        <v>77</v>
      </c>
      <c r="N128" s="16" t="s">
        <v>72</v>
      </c>
      <c r="O128" s="16" t="s">
        <v>20</v>
      </c>
      <c r="P128" s="16" t="s">
        <v>372</v>
      </c>
      <c r="Q128" s="16" t="s">
        <v>372</v>
      </c>
      <c r="R128" s="16" t="s">
        <v>72</v>
      </c>
      <c r="S128" s="16" t="s">
        <v>72</v>
      </c>
      <c r="T128" s="16" t="s">
        <v>72</v>
      </c>
      <c r="U128" s="16" t="s">
        <v>613</v>
      </c>
    </row>
    <row r="129" customFormat="false" ht="15" hidden="false" customHeight="true" outlineLevel="0" collapsed="false">
      <c r="A129" s="16" t="s">
        <v>614</v>
      </c>
      <c r="B129" s="16" t="s">
        <v>488</v>
      </c>
      <c r="C129" s="16" t="s">
        <v>333</v>
      </c>
      <c r="D129" s="16" t="s">
        <v>615</v>
      </c>
      <c r="E129" s="16" t="s">
        <v>71</v>
      </c>
      <c r="F129" s="16" t="s">
        <v>71</v>
      </c>
      <c r="G129" s="16" t="s">
        <v>72</v>
      </c>
      <c r="H129" s="16"/>
      <c r="I129" s="16" t="s">
        <v>73</v>
      </c>
      <c r="J129" s="16" t="s">
        <v>616</v>
      </c>
      <c r="K129" s="16"/>
      <c r="L129" s="16"/>
      <c r="M129" s="16" t="s">
        <v>77</v>
      </c>
      <c r="N129" s="16" t="s">
        <v>72</v>
      </c>
      <c r="O129" s="16" t="s">
        <v>20</v>
      </c>
      <c r="P129" s="16" t="s">
        <v>372</v>
      </c>
      <c r="Q129" s="16" t="s">
        <v>372</v>
      </c>
      <c r="R129" s="16" t="s">
        <v>72</v>
      </c>
      <c r="S129" s="16" t="s">
        <v>72</v>
      </c>
      <c r="T129" s="16" t="s">
        <v>72</v>
      </c>
      <c r="U129" s="16" t="s">
        <v>617</v>
      </c>
    </row>
    <row r="130" customFormat="false" ht="15" hidden="false" customHeight="true" outlineLevel="0" collapsed="false">
      <c r="A130" s="16" t="s">
        <v>618</v>
      </c>
      <c r="B130" s="16" t="s">
        <v>488</v>
      </c>
      <c r="C130" s="16" t="s">
        <v>619</v>
      </c>
      <c r="D130" s="16" t="s">
        <v>620</v>
      </c>
      <c r="E130" s="16" t="s">
        <v>71</v>
      </c>
      <c r="F130" s="16" t="s">
        <v>71</v>
      </c>
      <c r="G130" s="16" t="s">
        <v>72</v>
      </c>
      <c r="H130" s="16"/>
      <c r="I130" s="16" t="s">
        <v>73</v>
      </c>
      <c r="J130" s="16" t="s">
        <v>621</v>
      </c>
      <c r="K130" s="16"/>
      <c r="L130" s="16"/>
      <c r="M130" s="16" t="s">
        <v>77</v>
      </c>
      <c r="N130" s="16" t="s">
        <v>72</v>
      </c>
      <c r="O130" s="16" t="s">
        <v>20</v>
      </c>
      <c r="P130" s="16" t="s">
        <v>372</v>
      </c>
      <c r="Q130" s="16" t="s">
        <v>372</v>
      </c>
      <c r="R130" s="16" t="s">
        <v>72</v>
      </c>
      <c r="S130" s="16" t="s">
        <v>72</v>
      </c>
      <c r="T130" s="16" t="s">
        <v>72</v>
      </c>
      <c r="U130" s="16" t="s">
        <v>622</v>
      </c>
    </row>
    <row r="131" customFormat="false" ht="15" hidden="false" customHeight="true" outlineLevel="0" collapsed="false">
      <c r="A131" s="16" t="s">
        <v>623</v>
      </c>
      <c r="B131" s="16" t="s">
        <v>513</v>
      </c>
      <c r="C131" s="16" t="s">
        <v>624</v>
      </c>
      <c r="D131" s="16" t="s">
        <v>625</v>
      </c>
      <c r="E131" s="16" t="s">
        <v>71</v>
      </c>
      <c r="F131" s="16" t="s">
        <v>71</v>
      </c>
      <c r="G131" s="16" t="s">
        <v>72</v>
      </c>
      <c r="H131" s="16"/>
      <c r="I131" s="16" t="s">
        <v>252</v>
      </c>
      <c r="J131" s="16" t="s">
        <v>626</v>
      </c>
      <c r="K131" s="16" t="s">
        <v>627</v>
      </c>
      <c r="L131" s="16"/>
      <c r="M131" s="16" t="s">
        <v>77</v>
      </c>
      <c r="N131" s="16" t="s">
        <v>72</v>
      </c>
      <c r="O131" s="16" t="s">
        <v>20</v>
      </c>
      <c r="P131" s="16" t="s">
        <v>372</v>
      </c>
      <c r="Q131" s="16" t="s">
        <v>372</v>
      </c>
      <c r="R131" s="16" t="s">
        <v>72</v>
      </c>
      <c r="S131" s="16" t="s">
        <v>72</v>
      </c>
      <c r="T131" s="16" t="s">
        <v>72</v>
      </c>
      <c r="U131" s="16" t="s">
        <v>628</v>
      </c>
    </row>
    <row r="132" customFormat="false" ht="15" hidden="false" customHeight="true" outlineLevel="0" collapsed="false">
      <c r="A132" s="16" t="s">
        <v>629</v>
      </c>
      <c r="B132" s="16" t="s">
        <v>513</v>
      </c>
      <c r="C132" s="16" t="s">
        <v>630</v>
      </c>
      <c r="D132" s="16" t="s">
        <v>631</v>
      </c>
      <c r="E132" s="16" t="s">
        <v>71</v>
      </c>
      <c r="F132" s="16" t="s">
        <v>72</v>
      </c>
      <c r="G132" s="16" t="s">
        <v>72</v>
      </c>
      <c r="H132" s="16"/>
      <c r="I132" s="16" t="s">
        <v>252</v>
      </c>
      <c r="J132" s="16" t="s">
        <v>632</v>
      </c>
      <c r="K132" s="16" t="s">
        <v>633</v>
      </c>
      <c r="L132" s="16"/>
      <c r="M132" s="16" t="s">
        <v>77</v>
      </c>
      <c r="N132" s="16" t="s">
        <v>72</v>
      </c>
      <c r="O132" s="16" t="s">
        <v>20</v>
      </c>
      <c r="P132" s="16" t="s">
        <v>372</v>
      </c>
      <c r="Q132" s="16" t="s">
        <v>372</v>
      </c>
      <c r="R132" s="16" t="s">
        <v>72</v>
      </c>
      <c r="S132" s="16" t="s">
        <v>72</v>
      </c>
      <c r="T132" s="16" t="s">
        <v>72</v>
      </c>
      <c r="U132" s="16" t="s">
        <v>634</v>
      </c>
    </row>
    <row r="133" customFormat="false" ht="15" hidden="false" customHeight="true" outlineLevel="0" collapsed="false">
      <c r="A133" s="16" t="s">
        <v>635</v>
      </c>
      <c r="B133" s="16" t="s">
        <v>488</v>
      </c>
      <c r="C133" s="16" t="s">
        <v>250</v>
      </c>
      <c r="D133" s="16" t="s">
        <v>636</v>
      </c>
      <c r="E133" s="16" t="s">
        <v>71</v>
      </c>
      <c r="F133" s="16" t="s">
        <v>71</v>
      </c>
      <c r="G133" s="16" t="s">
        <v>72</v>
      </c>
      <c r="H133" s="16"/>
      <c r="I133" s="16" t="s">
        <v>73</v>
      </c>
      <c r="J133" s="16" t="s">
        <v>637</v>
      </c>
      <c r="K133" s="16"/>
      <c r="L133" s="16"/>
      <c r="M133" s="16" t="s">
        <v>77</v>
      </c>
      <c r="N133" s="16" t="s">
        <v>72</v>
      </c>
      <c r="O133" s="16" t="s">
        <v>20</v>
      </c>
      <c r="P133" s="16" t="s">
        <v>372</v>
      </c>
      <c r="Q133" s="16" t="s">
        <v>372</v>
      </c>
      <c r="R133" s="16" t="s">
        <v>72</v>
      </c>
      <c r="S133" s="16" t="s">
        <v>72</v>
      </c>
      <c r="T133" s="16" t="s">
        <v>72</v>
      </c>
      <c r="U133" s="16" t="s">
        <v>638</v>
      </c>
    </row>
    <row r="134" customFormat="false" ht="15" hidden="false" customHeight="true" outlineLevel="0" collapsed="false">
      <c r="A134" s="16" t="s">
        <v>639</v>
      </c>
      <c r="B134" s="16" t="s">
        <v>513</v>
      </c>
      <c r="C134" s="16" t="s">
        <v>571</v>
      </c>
      <c r="D134" s="16" t="s">
        <v>640</v>
      </c>
      <c r="E134" s="16" t="s">
        <v>71</v>
      </c>
      <c r="F134" s="16" t="s">
        <v>72</v>
      </c>
      <c r="G134" s="16" t="s">
        <v>72</v>
      </c>
      <c r="H134" s="16"/>
      <c r="I134" s="16" t="s">
        <v>252</v>
      </c>
      <c r="J134" s="16" t="s">
        <v>641</v>
      </c>
      <c r="K134" s="16"/>
      <c r="L134" s="16"/>
      <c r="M134" s="16" t="s">
        <v>77</v>
      </c>
      <c r="N134" s="16" t="s">
        <v>72</v>
      </c>
      <c r="O134" s="16" t="s">
        <v>20</v>
      </c>
      <c r="P134" s="16" t="s">
        <v>372</v>
      </c>
      <c r="Q134" s="16" t="s">
        <v>372</v>
      </c>
      <c r="R134" s="16" t="s">
        <v>72</v>
      </c>
      <c r="S134" s="16" t="s">
        <v>72</v>
      </c>
      <c r="T134" s="16" t="s">
        <v>72</v>
      </c>
      <c r="U134" s="16" t="s">
        <v>642</v>
      </c>
    </row>
    <row r="135" customFormat="false" ht="15" hidden="false" customHeight="true" outlineLevel="0" collapsed="false">
      <c r="A135" s="16" t="s">
        <v>643</v>
      </c>
      <c r="B135" s="16" t="s">
        <v>513</v>
      </c>
      <c r="C135" s="16" t="s">
        <v>333</v>
      </c>
      <c r="D135" s="16" t="s">
        <v>644</v>
      </c>
      <c r="E135" s="16" t="s">
        <v>71</v>
      </c>
      <c r="F135" s="16" t="s">
        <v>71</v>
      </c>
      <c r="G135" s="16" t="s">
        <v>72</v>
      </c>
      <c r="H135" s="16"/>
      <c r="I135" s="16" t="s">
        <v>252</v>
      </c>
      <c r="J135" s="16" t="s">
        <v>645</v>
      </c>
      <c r="K135" s="16"/>
      <c r="L135" s="16"/>
      <c r="M135" s="16" t="s">
        <v>77</v>
      </c>
      <c r="N135" s="16" t="s">
        <v>72</v>
      </c>
      <c r="O135" s="16" t="s">
        <v>20</v>
      </c>
      <c r="P135" s="16" t="s">
        <v>372</v>
      </c>
      <c r="Q135" s="16" t="s">
        <v>372</v>
      </c>
      <c r="R135" s="16" t="s">
        <v>72</v>
      </c>
      <c r="S135" s="16" t="s">
        <v>72</v>
      </c>
      <c r="T135" s="16" t="s">
        <v>72</v>
      </c>
      <c r="U135" s="16" t="s">
        <v>646</v>
      </c>
    </row>
    <row r="136" customFormat="false" ht="15" hidden="false" customHeight="true" outlineLevel="0" collapsed="false">
      <c r="A136" s="16" t="s">
        <v>647</v>
      </c>
      <c r="B136" s="16" t="s">
        <v>488</v>
      </c>
      <c r="C136" s="16" t="s">
        <v>250</v>
      </c>
      <c r="D136" s="16" t="s">
        <v>648</v>
      </c>
      <c r="E136" s="16" t="s">
        <v>71</v>
      </c>
      <c r="F136" s="16" t="s">
        <v>71</v>
      </c>
      <c r="G136" s="16" t="s">
        <v>72</v>
      </c>
      <c r="H136" s="16"/>
      <c r="I136" s="16" t="s">
        <v>73</v>
      </c>
      <c r="J136" s="16" t="s">
        <v>649</v>
      </c>
      <c r="K136" s="16" t="s">
        <v>650</v>
      </c>
      <c r="L136" s="16"/>
      <c r="M136" s="16" t="s">
        <v>77</v>
      </c>
      <c r="N136" s="16" t="s">
        <v>72</v>
      </c>
      <c r="O136" s="16" t="s">
        <v>20</v>
      </c>
      <c r="P136" s="16" t="s">
        <v>372</v>
      </c>
      <c r="Q136" s="16" t="s">
        <v>372</v>
      </c>
      <c r="R136" s="16" t="s">
        <v>72</v>
      </c>
      <c r="S136" s="16" t="s">
        <v>72</v>
      </c>
      <c r="T136" s="16" t="s">
        <v>72</v>
      </c>
      <c r="U136" s="16" t="s">
        <v>651</v>
      </c>
    </row>
    <row r="137" customFormat="false" ht="15" hidden="false" customHeight="true" outlineLevel="0" collapsed="false">
      <c r="A137" s="16" t="s">
        <v>652</v>
      </c>
      <c r="B137" s="16" t="s">
        <v>488</v>
      </c>
      <c r="C137" s="16" t="s">
        <v>415</v>
      </c>
      <c r="D137" s="16" t="s">
        <v>653</v>
      </c>
      <c r="E137" s="16" t="s">
        <v>71</v>
      </c>
      <c r="F137" s="16" t="s">
        <v>71</v>
      </c>
      <c r="G137" s="16" t="s">
        <v>72</v>
      </c>
      <c r="H137" s="16"/>
      <c r="I137" s="16" t="s">
        <v>73</v>
      </c>
      <c r="J137" s="16" t="s">
        <v>654</v>
      </c>
      <c r="K137" s="16"/>
      <c r="L137" s="16"/>
      <c r="M137" s="16" t="s">
        <v>77</v>
      </c>
      <c r="N137" s="16" t="s">
        <v>72</v>
      </c>
      <c r="O137" s="16" t="s">
        <v>20</v>
      </c>
      <c r="P137" s="16" t="s">
        <v>372</v>
      </c>
      <c r="Q137" s="16" t="s">
        <v>372</v>
      </c>
      <c r="R137" s="16" t="s">
        <v>72</v>
      </c>
      <c r="S137" s="16" t="s">
        <v>72</v>
      </c>
      <c r="T137" s="16" t="s">
        <v>72</v>
      </c>
      <c r="U137" s="16" t="s">
        <v>655</v>
      </c>
    </row>
    <row r="138" customFormat="false" ht="15" hidden="false" customHeight="true" outlineLevel="0" collapsed="false">
      <c r="A138" s="16" t="s">
        <v>656</v>
      </c>
      <c r="B138" s="16" t="s">
        <v>488</v>
      </c>
      <c r="C138" s="16" t="s">
        <v>250</v>
      </c>
      <c r="D138" s="16" t="s">
        <v>657</v>
      </c>
      <c r="E138" s="16" t="s">
        <v>71</v>
      </c>
      <c r="F138" s="16" t="s">
        <v>71</v>
      </c>
      <c r="G138" s="16" t="s">
        <v>72</v>
      </c>
      <c r="H138" s="16"/>
      <c r="I138" s="16" t="s">
        <v>73</v>
      </c>
      <c r="J138" s="16" t="s">
        <v>658</v>
      </c>
      <c r="K138" s="16"/>
      <c r="L138" s="16"/>
      <c r="M138" s="16" t="s">
        <v>77</v>
      </c>
      <c r="N138" s="16" t="s">
        <v>72</v>
      </c>
      <c r="O138" s="16" t="s">
        <v>20</v>
      </c>
      <c r="P138" s="16" t="s">
        <v>372</v>
      </c>
      <c r="Q138" s="16" t="s">
        <v>372</v>
      </c>
      <c r="R138" s="16" t="s">
        <v>72</v>
      </c>
      <c r="S138" s="16" t="s">
        <v>72</v>
      </c>
      <c r="T138" s="16" t="s">
        <v>72</v>
      </c>
      <c r="U138" s="16" t="s">
        <v>659</v>
      </c>
    </row>
    <row r="139" customFormat="false" ht="15" hidden="false" customHeight="true" outlineLevel="0" collapsed="false">
      <c r="A139" s="16" t="s">
        <v>660</v>
      </c>
      <c r="B139" s="16" t="s">
        <v>513</v>
      </c>
      <c r="C139" s="16" t="s">
        <v>661</v>
      </c>
      <c r="D139" s="16" t="s">
        <v>662</v>
      </c>
      <c r="E139" s="16" t="s">
        <v>71</v>
      </c>
      <c r="F139" s="16" t="s">
        <v>71</v>
      </c>
      <c r="G139" s="16" t="s">
        <v>72</v>
      </c>
      <c r="H139" s="16"/>
      <c r="I139" s="16" t="s">
        <v>252</v>
      </c>
      <c r="J139" s="16" t="s">
        <v>663</v>
      </c>
      <c r="K139" s="16"/>
      <c r="L139" s="16"/>
      <c r="M139" s="16" t="s">
        <v>77</v>
      </c>
      <c r="N139" s="16" t="s">
        <v>72</v>
      </c>
      <c r="O139" s="16" t="s">
        <v>20</v>
      </c>
      <c r="P139" s="16" t="s">
        <v>372</v>
      </c>
      <c r="Q139" s="16" t="s">
        <v>372</v>
      </c>
      <c r="R139" s="16" t="s">
        <v>72</v>
      </c>
      <c r="S139" s="16" t="s">
        <v>72</v>
      </c>
      <c r="T139" s="16" t="s">
        <v>72</v>
      </c>
      <c r="U139" s="16" t="s">
        <v>664</v>
      </c>
    </row>
    <row r="140" customFormat="false" ht="15" hidden="false" customHeight="true" outlineLevel="0" collapsed="false">
      <c r="A140" s="16" t="s">
        <v>665</v>
      </c>
      <c r="B140" s="16" t="s">
        <v>488</v>
      </c>
      <c r="C140" s="16" t="s">
        <v>333</v>
      </c>
      <c r="D140" s="16" t="s">
        <v>666</v>
      </c>
      <c r="E140" s="16" t="s">
        <v>71</v>
      </c>
      <c r="F140" s="16" t="s">
        <v>72</v>
      </c>
      <c r="G140" s="16" t="s">
        <v>72</v>
      </c>
      <c r="H140" s="16"/>
      <c r="I140" s="16" t="s">
        <v>73</v>
      </c>
      <c r="J140" s="16" t="s">
        <v>667</v>
      </c>
      <c r="K140" s="16" t="s">
        <v>668</v>
      </c>
      <c r="L140" s="16"/>
      <c r="M140" s="16" t="s">
        <v>77</v>
      </c>
      <c r="N140" s="16" t="s">
        <v>72</v>
      </c>
      <c r="O140" s="16" t="s">
        <v>20</v>
      </c>
      <c r="P140" s="16" t="s">
        <v>372</v>
      </c>
      <c r="Q140" s="16" t="s">
        <v>372</v>
      </c>
      <c r="R140" s="16" t="s">
        <v>72</v>
      </c>
      <c r="S140" s="16" t="s">
        <v>72</v>
      </c>
      <c r="T140" s="16" t="s">
        <v>72</v>
      </c>
      <c r="U140" s="16" t="s">
        <v>669</v>
      </c>
    </row>
    <row r="141" customFormat="false" ht="15" hidden="false" customHeight="true" outlineLevel="0" collapsed="false">
      <c r="A141" s="16" t="s">
        <v>670</v>
      </c>
      <c r="B141" s="16" t="s">
        <v>488</v>
      </c>
      <c r="C141" s="16" t="s">
        <v>333</v>
      </c>
      <c r="D141" s="16" t="s">
        <v>671</v>
      </c>
      <c r="E141" s="16" t="s">
        <v>71</v>
      </c>
      <c r="F141" s="16" t="s">
        <v>71</v>
      </c>
      <c r="G141" s="16" t="s">
        <v>72</v>
      </c>
      <c r="H141" s="16"/>
      <c r="I141" s="16" t="s">
        <v>73</v>
      </c>
      <c r="J141" s="16" t="s">
        <v>672</v>
      </c>
      <c r="K141" s="16"/>
      <c r="L141" s="16"/>
      <c r="M141" s="16" t="s">
        <v>77</v>
      </c>
      <c r="N141" s="16" t="s">
        <v>72</v>
      </c>
      <c r="O141" s="16" t="s">
        <v>105</v>
      </c>
      <c r="P141" s="16" t="s">
        <v>372</v>
      </c>
      <c r="Q141" s="16"/>
      <c r="R141" s="16" t="s">
        <v>72</v>
      </c>
      <c r="S141" s="16" t="s">
        <v>72</v>
      </c>
      <c r="T141" s="16" t="s">
        <v>72</v>
      </c>
      <c r="U141" s="16" t="s">
        <v>673</v>
      </c>
    </row>
    <row r="142" customFormat="false" ht="15" hidden="false" customHeight="true" outlineLevel="0" collapsed="false">
      <c r="A142" s="16" t="s">
        <v>674</v>
      </c>
      <c r="B142" s="16" t="s">
        <v>488</v>
      </c>
      <c r="C142" s="16" t="s">
        <v>675</v>
      </c>
      <c r="D142" s="16" t="s">
        <v>676</v>
      </c>
      <c r="E142" s="16" t="s">
        <v>71</v>
      </c>
      <c r="F142" s="16" t="s">
        <v>72</v>
      </c>
      <c r="G142" s="16" t="s">
        <v>72</v>
      </c>
      <c r="H142" s="16"/>
      <c r="I142" s="16" t="s">
        <v>73</v>
      </c>
      <c r="J142" s="16" t="s">
        <v>677</v>
      </c>
      <c r="K142" s="16"/>
      <c r="L142" s="16"/>
      <c r="M142" s="16" t="s">
        <v>77</v>
      </c>
      <c r="N142" s="16" t="s">
        <v>72</v>
      </c>
      <c r="O142" s="16" t="s">
        <v>20</v>
      </c>
      <c r="P142" s="16" t="s">
        <v>372</v>
      </c>
      <c r="Q142" s="16" t="s">
        <v>372</v>
      </c>
      <c r="R142" s="16" t="s">
        <v>72</v>
      </c>
      <c r="S142" s="16" t="s">
        <v>72</v>
      </c>
      <c r="T142" s="16" t="s">
        <v>72</v>
      </c>
      <c r="U142" s="16" t="s">
        <v>678</v>
      </c>
    </row>
    <row r="143" customFormat="false" ht="15" hidden="false" customHeight="true" outlineLevel="0" collapsed="false">
      <c r="A143" s="16" t="s">
        <v>679</v>
      </c>
      <c r="B143" s="16" t="s">
        <v>488</v>
      </c>
      <c r="C143" s="16" t="s">
        <v>333</v>
      </c>
      <c r="D143" s="16" t="s">
        <v>680</v>
      </c>
      <c r="E143" s="16" t="s">
        <v>71</v>
      </c>
      <c r="F143" s="16" t="s">
        <v>72</v>
      </c>
      <c r="G143" s="16" t="s">
        <v>72</v>
      </c>
      <c r="H143" s="16"/>
      <c r="I143" s="16" t="s">
        <v>73</v>
      </c>
      <c r="J143" s="16" t="s">
        <v>681</v>
      </c>
      <c r="K143" s="16"/>
      <c r="L143" s="16"/>
      <c r="M143" s="16" t="s">
        <v>77</v>
      </c>
      <c r="N143" s="16" t="s">
        <v>72</v>
      </c>
      <c r="O143" s="16" t="s">
        <v>20</v>
      </c>
      <c r="P143" s="16" t="s">
        <v>372</v>
      </c>
      <c r="Q143" s="16" t="s">
        <v>372</v>
      </c>
      <c r="R143" s="16" t="s">
        <v>72</v>
      </c>
      <c r="S143" s="16" t="s">
        <v>72</v>
      </c>
      <c r="T143" s="16" t="s">
        <v>72</v>
      </c>
      <c r="U143" s="16" t="s">
        <v>682</v>
      </c>
    </row>
    <row r="144" customFormat="false" ht="15" hidden="false" customHeight="true" outlineLevel="0" collapsed="false">
      <c r="A144" s="16" t="s">
        <v>683</v>
      </c>
      <c r="B144" s="16" t="s">
        <v>488</v>
      </c>
      <c r="C144" s="16" t="s">
        <v>333</v>
      </c>
      <c r="D144" s="16" t="s">
        <v>684</v>
      </c>
      <c r="E144" s="16" t="s">
        <v>71</v>
      </c>
      <c r="F144" s="16" t="s">
        <v>72</v>
      </c>
      <c r="G144" s="16" t="s">
        <v>72</v>
      </c>
      <c r="H144" s="16"/>
      <c r="I144" s="16" t="s">
        <v>73</v>
      </c>
      <c r="J144" s="16" t="s">
        <v>685</v>
      </c>
      <c r="K144" s="16"/>
      <c r="L144" s="16"/>
      <c r="M144" s="16" t="s">
        <v>77</v>
      </c>
      <c r="N144" s="16" t="s">
        <v>72</v>
      </c>
      <c r="O144" s="16" t="s">
        <v>20</v>
      </c>
      <c r="P144" s="16" t="s">
        <v>372</v>
      </c>
      <c r="Q144" s="16" t="s">
        <v>372</v>
      </c>
      <c r="R144" s="16" t="s">
        <v>72</v>
      </c>
      <c r="S144" s="16" t="s">
        <v>72</v>
      </c>
      <c r="T144" s="16" t="s">
        <v>72</v>
      </c>
      <c r="U144" s="16" t="s">
        <v>686</v>
      </c>
    </row>
    <row r="145" customFormat="false" ht="15" hidden="false" customHeight="true" outlineLevel="0" collapsed="false">
      <c r="A145" s="16" t="s">
        <v>687</v>
      </c>
      <c r="B145" s="16" t="s">
        <v>488</v>
      </c>
      <c r="C145" s="16" t="s">
        <v>250</v>
      </c>
      <c r="D145" s="16" t="s">
        <v>688</v>
      </c>
      <c r="E145" s="16" t="s">
        <v>71</v>
      </c>
      <c r="F145" s="16" t="s">
        <v>72</v>
      </c>
      <c r="G145" s="16" t="s">
        <v>72</v>
      </c>
      <c r="H145" s="16"/>
      <c r="I145" s="16" t="s">
        <v>73</v>
      </c>
      <c r="J145" s="16" t="s">
        <v>689</v>
      </c>
      <c r="K145" s="16"/>
      <c r="L145" s="16"/>
      <c r="M145" s="16" t="s">
        <v>77</v>
      </c>
      <c r="N145" s="16" t="s">
        <v>72</v>
      </c>
      <c r="O145" s="16" t="s">
        <v>20</v>
      </c>
      <c r="P145" s="16" t="s">
        <v>372</v>
      </c>
      <c r="Q145" s="16" t="s">
        <v>372</v>
      </c>
      <c r="R145" s="16" t="s">
        <v>72</v>
      </c>
      <c r="S145" s="16" t="s">
        <v>72</v>
      </c>
      <c r="T145" s="16" t="s">
        <v>72</v>
      </c>
      <c r="U145" s="16" t="s">
        <v>690</v>
      </c>
    </row>
    <row r="146" customFormat="false" ht="15" hidden="false" customHeight="true" outlineLevel="0" collapsed="false">
      <c r="A146" s="16" t="s">
        <v>691</v>
      </c>
      <c r="B146" s="16" t="s">
        <v>488</v>
      </c>
      <c r="C146" s="16" t="s">
        <v>250</v>
      </c>
      <c r="D146" s="16" t="s">
        <v>692</v>
      </c>
      <c r="E146" s="16" t="s">
        <v>71</v>
      </c>
      <c r="F146" s="16" t="s">
        <v>72</v>
      </c>
      <c r="G146" s="16" t="s">
        <v>72</v>
      </c>
      <c r="H146" s="16"/>
      <c r="I146" s="16" t="s">
        <v>73</v>
      </c>
      <c r="J146" s="16" t="s">
        <v>693</v>
      </c>
      <c r="K146" s="16"/>
      <c r="L146" s="16"/>
      <c r="M146" s="16" t="s">
        <v>77</v>
      </c>
      <c r="N146" s="16" t="s">
        <v>72</v>
      </c>
      <c r="O146" s="16" t="s">
        <v>20</v>
      </c>
      <c r="P146" s="16" t="s">
        <v>372</v>
      </c>
      <c r="Q146" s="16" t="s">
        <v>372</v>
      </c>
      <c r="R146" s="16" t="s">
        <v>72</v>
      </c>
      <c r="S146" s="16" t="s">
        <v>72</v>
      </c>
      <c r="T146" s="16" t="s">
        <v>72</v>
      </c>
      <c r="U146" s="16" t="s">
        <v>694</v>
      </c>
    </row>
    <row r="147" customFormat="false" ht="15" hidden="false" customHeight="true" outlineLevel="0" collapsed="false">
      <c r="A147" s="16" t="s">
        <v>695</v>
      </c>
      <c r="B147" s="16" t="s">
        <v>488</v>
      </c>
      <c r="C147" s="16" t="s">
        <v>576</v>
      </c>
      <c r="D147" s="16" t="s">
        <v>696</v>
      </c>
      <c r="E147" s="16" t="s">
        <v>71</v>
      </c>
      <c r="F147" s="16" t="s">
        <v>72</v>
      </c>
      <c r="G147" s="16" t="s">
        <v>72</v>
      </c>
      <c r="H147" s="16"/>
      <c r="I147" s="16" t="s">
        <v>73</v>
      </c>
      <c r="J147" s="16" t="s">
        <v>697</v>
      </c>
      <c r="K147" s="16"/>
      <c r="L147" s="16"/>
      <c r="M147" s="16" t="s">
        <v>77</v>
      </c>
      <c r="N147" s="16" t="s">
        <v>72</v>
      </c>
      <c r="O147" s="16" t="s">
        <v>20</v>
      </c>
      <c r="P147" s="16" t="s">
        <v>372</v>
      </c>
      <c r="Q147" s="16" t="s">
        <v>372</v>
      </c>
      <c r="R147" s="16" t="s">
        <v>72</v>
      </c>
      <c r="S147" s="16" t="s">
        <v>72</v>
      </c>
      <c r="T147" s="16" t="s">
        <v>72</v>
      </c>
      <c r="U147" s="16" t="s">
        <v>698</v>
      </c>
    </row>
    <row r="148" customFormat="false" ht="15" hidden="false" customHeight="true" outlineLevel="0" collapsed="false">
      <c r="A148" s="16" t="s">
        <v>699</v>
      </c>
      <c r="B148" s="16" t="s">
        <v>488</v>
      </c>
      <c r="C148" s="16" t="s">
        <v>333</v>
      </c>
      <c r="D148" s="16" t="s">
        <v>700</v>
      </c>
      <c r="E148" s="16" t="s">
        <v>71</v>
      </c>
      <c r="F148" s="16" t="s">
        <v>72</v>
      </c>
      <c r="G148" s="16" t="s">
        <v>72</v>
      </c>
      <c r="H148" s="16"/>
      <c r="I148" s="16" t="s">
        <v>73</v>
      </c>
      <c r="J148" s="16" t="s">
        <v>701</v>
      </c>
      <c r="K148" s="16"/>
      <c r="L148" s="16"/>
      <c r="M148" s="16" t="s">
        <v>77</v>
      </c>
      <c r="N148" s="16" t="s">
        <v>72</v>
      </c>
      <c r="O148" s="16" t="s">
        <v>20</v>
      </c>
      <c r="P148" s="16" t="s">
        <v>372</v>
      </c>
      <c r="Q148" s="16" t="s">
        <v>372</v>
      </c>
      <c r="R148" s="16" t="s">
        <v>72</v>
      </c>
      <c r="S148" s="16" t="s">
        <v>72</v>
      </c>
      <c r="T148" s="16" t="s">
        <v>72</v>
      </c>
      <c r="U148" s="16" t="s">
        <v>702</v>
      </c>
    </row>
    <row r="149" customFormat="false" ht="15" hidden="false" customHeight="true" outlineLevel="0" collapsed="false">
      <c r="A149" s="16" t="s">
        <v>703</v>
      </c>
      <c r="B149" s="16" t="s">
        <v>513</v>
      </c>
      <c r="C149" s="16" t="s">
        <v>250</v>
      </c>
      <c r="D149" s="16" t="s">
        <v>704</v>
      </c>
      <c r="E149" s="16" t="s">
        <v>71</v>
      </c>
      <c r="F149" s="16" t="s">
        <v>71</v>
      </c>
      <c r="G149" s="16" t="s">
        <v>72</v>
      </c>
      <c r="H149" s="16"/>
      <c r="I149" s="16" t="s">
        <v>252</v>
      </c>
      <c r="J149" s="16" t="s">
        <v>705</v>
      </c>
      <c r="K149" s="16"/>
      <c r="L149" s="16"/>
      <c r="M149" s="16" t="s">
        <v>77</v>
      </c>
      <c r="N149" s="16" t="s">
        <v>72</v>
      </c>
      <c r="O149" s="16" t="s">
        <v>20</v>
      </c>
      <c r="P149" s="16" t="s">
        <v>372</v>
      </c>
      <c r="Q149" s="16" t="s">
        <v>372</v>
      </c>
      <c r="R149" s="16" t="s">
        <v>72</v>
      </c>
      <c r="S149" s="16" t="s">
        <v>72</v>
      </c>
      <c r="T149" s="16" t="s">
        <v>72</v>
      </c>
      <c r="U149" s="16" t="s">
        <v>706</v>
      </c>
    </row>
    <row r="150" customFormat="false" ht="15" hidden="false" customHeight="true" outlineLevel="0" collapsed="false">
      <c r="A150" s="16" t="s">
        <v>707</v>
      </c>
      <c r="B150" s="16" t="s">
        <v>513</v>
      </c>
      <c r="C150" s="16" t="s">
        <v>250</v>
      </c>
      <c r="D150" s="16" t="s">
        <v>708</v>
      </c>
      <c r="E150" s="16" t="s">
        <v>71</v>
      </c>
      <c r="F150" s="16" t="s">
        <v>71</v>
      </c>
      <c r="G150" s="16" t="s">
        <v>72</v>
      </c>
      <c r="H150" s="16"/>
      <c r="I150" s="16" t="s">
        <v>252</v>
      </c>
      <c r="J150" s="16" t="s">
        <v>709</v>
      </c>
      <c r="K150" s="16"/>
      <c r="L150" s="16"/>
      <c r="M150" s="16" t="s">
        <v>77</v>
      </c>
      <c r="N150" s="16" t="s">
        <v>72</v>
      </c>
      <c r="O150" s="16" t="s">
        <v>20</v>
      </c>
      <c r="P150" s="16" t="s">
        <v>372</v>
      </c>
      <c r="Q150" s="16" t="s">
        <v>372</v>
      </c>
      <c r="R150" s="16" t="s">
        <v>72</v>
      </c>
      <c r="S150" s="16" t="s">
        <v>72</v>
      </c>
      <c r="T150" s="16" t="s">
        <v>72</v>
      </c>
      <c r="U150" s="16" t="s">
        <v>710</v>
      </c>
    </row>
    <row r="151" customFormat="false" ht="15" hidden="false" customHeight="true" outlineLevel="0" collapsed="false">
      <c r="A151" s="16" t="s">
        <v>711</v>
      </c>
      <c r="B151" s="16" t="s">
        <v>488</v>
      </c>
      <c r="C151" s="16" t="s">
        <v>250</v>
      </c>
      <c r="D151" s="16" t="s">
        <v>712</v>
      </c>
      <c r="E151" s="16" t="s">
        <v>71</v>
      </c>
      <c r="F151" s="16" t="s">
        <v>72</v>
      </c>
      <c r="G151" s="16" t="s">
        <v>72</v>
      </c>
      <c r="H151" s="16"/>
      <c r="I151" s="16" t="s">
        <v>73</v>
      </c>
      <c r="J151" s="16" t="s">
        <v>713</v>
      </c>
      <c r="K151" s="16"/>
      <c r="L151" s="16"/>
      <c r="M151" s="16" t="s">
        <v>77</v>
      </c>
      <c r="N151" s="16" t="s">
        <v>72</v>
      </c>
      <c r="O151" s="16" t="s">
        <v>20</v>
      </c>
      <c r="P151" s="16" t="s">
        <v>372</v>
      </c>
      <c r="Q151" s="16" t="s">
        <v>372</v>
      </c>
      <c r="R151" s="16" t="s">
        <v>72</v>
      </c>
      <c r="S151" s="16" t="s">
        <v>72</v>
      </c>
      <c r="T151" s="16" t="s">
        <v>72</v>
      </c>
      <c r="U151" s="16" t="s">
        <v>714</v>
      </c>
    </row>
    <row r="152" customFormat="false" ht="15" hidden="false" customHeight="true" outlineLevel="0" collapsed="false">
      <c r="A152" s="16" t="s">
        <v>715</v>
      </c>
      <c r="B152" s="16" t="s">
        <v>513</v>
      </c>
      <c r="C152" s="16" t="s">
        <v>250</v>
      </c>
      <c r="D152" s="16" t="s">
        <v>716</v>
      </c>
      <c r="E152" s="16" t="s">
        <v>71</v>
      </c>
      <c r="F152" s="16" t="s">
        <v>71</v>
      </c>
      <c r="G152" s="16" t="s">
        <v>72</v>
      </c>
      <c r="H152" s="16"/>
      <c r="I152" s="16" t="s">
        <v>252</v>
      </c>
      <c r="J152" s="16" t="s">
        <v>717</v>
      </c>
      <c r="K152" s="16"/>
      <c r="L152" s="16"/>
      <c r="M152" s="16" t="s">
        <v>77</v>
      </c>
      <c r="N152" s="16" t="s">
        <v>72</v>
      </c>
      <c r="O152" s="16" t="s">
        <v>20</v>
      </c>
      <c r="P152" s="16" t="s">
        <v>372</v>
      </c>
      <c r="Q152" s="16" t="s">
        <v>372</v>
      </c>
      <c r="R152" s="16" t="s">
        <v>72</v>
      </c>
      <c r="S152" s="16" t="s">
        <v>72</v>
      </c>
      <c r="T152" s="16" t="s">
        <v>72</v>
      </c>
      <c r="U152" s="16" t="s">
        <v>718</v>
      </c>
    </row>
    <row r="153" customFormat="false" ht="15" hidden="false" customHeight="true" outlineLevel="0" collapsed="false">
      <c r="A153" s="16" t="s">
        <v>719</v>
      </c>
      <c r="B153" s="16" t="s">
        <v>513</v>
      </c>
      <c r="C153" s="16" t="s">
        <v>250</v>
      </c>
      <c r="D153" s="16" t="s">
        <v>720</v>
      </c>
      <c r="E153" s="16" t="s">
        <v>71</v>
      </c>
      <c r="F153" s="16" t="s">
        <v>72</v>
      </c>
      <c r="G153" s="16" t="s">
        <v>72</v>
      </c>
      <c r="H153" s="16"/>
      <c r="I153" s="16" t="s">
        <v>252</v>
      </c>
      <c r="J153" s="16" t="s">
        <v>721</v>
      </c>
      <c r="K153" s="16"/>
      <c r="L153" s="16"/>
      <c r="M153" s="16" t="s">
        <v>77</v>
      </c>
      <c r="N153" s="16" t="s">
        <v>72</v>
      </c>
      <c r="O153" s="16" t="s">
        <v>20</v>
      </c>
      <c r="P153" s="16" t="s">
        <v>372</v>
      </c>
      <c r="Q153" s="16" t="s">
        <v>372</v>
      </c>
      <c r="R153" s="16" t="s">
        <v>72</v>
      </c>
      <c r="S153" s="16" t="s">
        <v>72</v>
      </c>
      <c r="T153" s="16" t="s">
        <v>72</v>
      </c>
      <c r="U153" s="16" t="s">
        <v>722</v>
      </c>
    </row>
    <row r="154" customFormat="false" ht="15" hidden="false" customHeight="true" outlineLevel="0" collapsed="false">
      <c r="A154" s="16" t="s">
        <v>723</v>
      </c>
      <c r="B154" s="16" t="s">
        <v>488</v>
      </c>
      <c r="C154" s="16" t="s">
        <v>415</v>
      </c>
      <c r="D154" s="16" t="s">
        <v>724</v>
      </c>
      <c r="E154" s="16" t="s">
        <v>71</v>
      </c>
      <c r="F154" s="16" t="s">
        <v>71</v>
      </c>
      <c r="G154" s="16" t="s">
        <v>72</v>
      </c>
      <c r="H154" s="16"/>
      <c r="I154" s="16" t="s">
        <v>73</v>
      </c>
      <c r="J154" s="16" t="s">
        <v>725</v>
      </c>
      <c r="K154" s="16"/>
      <c r="L154" s="16"/>
      <c r="M154" s="16" t="s">
        <v>77</v>
      </c>
      <c r="N154" s="16" t="s">
        <v>72</v>
      </c>
      <c r="O154" s="16" t="s">
        <v>20</v>
      </c>
      <c r="P154" s="16" t="s">
        <v>372</v>
      </c>
      <c r="Q154" s="16" t="s">
        <v>372</v>
      </c>
      <c r="R154" s="16" t="s">
        <v>72</v>
      </c>
      <c r="S154" s="16" t="s">
        <v>72</v>
      </c>
      <c r="T154" s="16" t="s">
        <v>72</v>
      </c>
      <c r="U154" s="16" t="s">
        <v>726</v>
      </c>
    </row>
    <row r="155" customFormat="false" ht="15" hidden="false" customHeight="true" outlineLevel="0" collapsed="false">
      <c r="A155" s="16" t="s">
        <v>727</v>
      </c>
      <c r="B155" s="16" t="s">
        <v>488</v>
      </c>
      <c r="C155" s="16" t="s">
        <v>728</v>
      </c>
      <c r="D155" s="16" t="s">
        <v>567</v>
      </c>
      <c r="E155" s="16" t="s">
        <v>71</v>
      </c>
      <c r="F155" s="16" t="s">
        <v>71</v>
      </c>
      <c r="G155" s="16" t="s">
        <v>72</v>
      </c>
      <c r="H155" s="16"/>
      <c r="I155" s="16" t="s">
        <v>73</v>
      </c>
      <c r="J155" s="16" t="s">
        <v>729</v>
      </c>
      <c r="K155" s="16"/>
      <c r="L155" s="16"/>
      <c r="M155" s="16" t="s">
        <v>77</v>
      </c>
      <c r="N155" s="16" t="s">
        <v>72</v>
      </c>
      <c r="O155" s="16" t="s">
        <v>105</v>
      </c>
      <c r="P155" s="16" t="s">
        <v>372</v>
      </c>
      <c r="Q155" s="16"/>
      <c r="R155" s="16" t="s">
        <v>72</v>
      </c>
      <c r="S155" s="16" t="s">
        <v>72</v>
      </c>
      <c r="T155" s="16" t="s">
        <v>72</v>
      </c>
      <c r="U155" s="16" t="s">
        <v>569</v>
      </c>
    </row>
    <row r="156" customFormat="false" ht="15" hidden="false" customHeight="true" outlineLevel="0" collapsed="false">
      <c r="A156" s="16" t="s">
        <v>730</v>
      </c>
      <c r="B156" s="16" t="s">
        <v>488</v>
      </c>
      <c r="C156" s="16" t="s">
        <v>333</v>
      </c>
      <c r="D156" s="16" t="s">
        <v>731</v>
      </c>
      <c r="E156" s="16" t="s">
        <v>71</v>
      </c>
      <c r="F156" s="16" t="s">
        <v>71</v>
      </c>
      <c r="G156" s="16" t="s">
        <v>72</v>
      </c>
      <c r="H156" s="16"/>
      <c r="I156" s="16" t="s">
        <v>73</v>
      </c>
      <c r="J156" s="16" t="s">
        <v>732</v>
      </c>
      <c r="K156" s="16" t="s">
        <v>733</v>
      </c>
      <c r="L156" s="16"/>
      <c r="M156" s="16" t="s">
        <v>77</v>
      </c>
      <c r="N156" s="16" t="s">
        <v>72</v>
      </c>
      <c r="O156" s="16" t="s">
        <v>20</v>
      </c>
      <c r="P156" s="16" t="s">
        <v>78</v>
      </c>
      <c r="Q156" s="16" t="s">
        <v>78</v>
      </c>
      <c r="R156" s="16" t="s">
        <v>72</v>
      </c>
      <c r="S156" s="16" t="s">
        <v>72</v>
      </c>
      <c r="T156" s="16" t="s">
        <v>72</v>
      </c>
      <c r="U156" s="16" t="s">
        <v>734</v>
      </c>
    </row>
    <row r="157" customFormat="false" ht="15" hidden="false" customHeight="true" outlineLevel="0" collapsed="false">
      <c r="A157" s="16" t="s">
        <v>735</v>
      </c>
      <c r="B157" s="16" t="s">
        <v>513</v>
      </c>
      <c r="C157" s="16" t="s">
        <v>250</v>
      </c>
      <c r="D157" s="16" t="s">
        <v>736</v>
      </c>
      <c r="E157" s="16" t="s">
        <v>71</v>
      </c>
      <c r="F157" s="16" t="s">
        <v>71</v>
      </c>
      <c r="G157" s="16" t="s">
        <v>72</v>
      </c>
      <c r="H157" s="16"/>
      <c r="I157" s="16" t="s">
        <v>252</v>
      </c>
      <c r="J157" s="16" t="s">
        <v>737</v>
      </c>
      <c r="K157" s="16"/>
      <c r="L157" s="16"/>
      <c r="M157" s="16" t="s">
        <v>77</v>
      </c>
      <c r="N157" s="16" t="s">
        <v>72</v>
      </c>
      <c r="O157" s="16" t="s">
        <v>20</v>
      </c>
      <c r="P157" s="16" t="s">
        <v>78</v>
      </c>
      <c r="Q157" s="16" t="s">
        <v>78</v>
      </c>
      <c r="R157" s="16" t="s">
        <v>72</v>
      </c>
      <c r="S157" s="16" t="s">
        <v>72</v>
      </c>
      <c r="T157" s="16" t="s">
        <v>72</v>
      </c>
      <c r="U157" s="16" t="s">
        <v>738</v>
      </c>
    </row>
    <row r="158" customFormat="false" ht="15" hidden="false" customHeight="true" outlineLevel="0" collapsed="false">
      <c r="A158" s="16" t="s">
        <v>739</v>
      </c>
      <c r="B158" s="16" t="s">
        <v>740</v>
      </c>
      <c r="C158" s="16" t="s">
        <v>250</v>
      </c>
      <c r="D158" s="16" t="s">
        <v>741</v>
      </c>
      <c r="E158" s="16" t="s">
        <v>71</v>
      </c>
      <c r="F158" s="16" t="s">
        <v>72</v>
      </c>
      <c r="G158" s="16" t="s">
        <v>72</v>
      </c>
      <c r="H158" s="16"/>
      <c r="I158" s="16" t="s">
        <v>73</v>
      </c>
      <c r="J158" s="16" t="s">
        <v>742</v>
      </c>
      <c r="K158" s="16"/>
      <c r="L158" s="16"/>
      <c r="M158" s="16" t="s">
        <v>77</v>
      </c>
      <c r="N158" s="16" t="s">
        <v>72</v>
      </c>
      <c r="O158" s="16" t="s">
        <v>20</v>
      </c>
      <c r="P158" s="16" t="s">
        <v>492</v>
      </c>
      <c r="Q158" s="16" t="s">
        <v>492</v>
      </c>
      <c r="R158" s="16" t="s">
        <v>72</v>
      </c>
      <c r="S158" s="16" t="s">
        <v>72</v>
      </c>
      <c r="T158" s="16" t="s">
        <v>72</v>
      </c>
      <c r="U158" s="16" t="s">
        <v>743</v>
      </c>
    </row>
    <row r="159" customFormat="false" ht="15" hidden="false" customHeight="true" outlineLevel="0" collapsed="false">
      <c r="A159" s="16" t="s">
        <v>744</v>
      </c>
      <c r="B159" s="16" t="s">
        <v>740</v>
      </c>
      <c r="C159" s="16" t="s">
        <v>206</v>
      </c>
      <c r="D159" s="16" t="s">
        <v>745</v>
      </c>
      <c r="E159" s="16" t="s">
        <v>71</v>
      </c>
      <c r="F159" s="16" t="s">
        <v>71</v>
      </c>
      <c r="G159" s="16" t="s">
        <v>72</v>
      </c>
      <c r="H159" s="16"/>
      <c r="I159" s="16" t="s">
        <v>73</v>
      </c>
      <c r="J159" s="16" t="s">
        <v>746</v>
      </c>
      <c r="K159" s="16" t="s">
        <v>747</v>
      </c>
      <c r="L159" s="16"/>
      <c r="M159" s="16" t="s">
        <v>77</v>
      </c>
      <c r="N159" s="16" t="s">
        <v>72</v>
      </c>
      <c r="O159" s="16" t="s">
        <v>20</v>
      </c>
      <c r="P159" s="16" t="s">
        <v>492</v>
      </c>
      <c r="Q159" s="16" t="s">
        <v>492</v>
      </c>
      <c r="R159" s="16" t="s">
        <v>72</v>
      </c>
      <c r="S159" s="16" t="s">
        <v>72</v>
      </c>
      <c r="T159" s="16" t="s">
        <v>72</v>
      </c>
      <c r="U159" s="16" t="s">
        <v>748</v>
      </c>
    </row>
    <row r="160" customFormat="false" ht="15" hidden="false" customHeight="true" outlineLevel="0" collapsed="false">
      <c r="A160" s="16" t="s">
        <v>749</v>
      </c>
      <c r="B160" s="16" t="s">
        <v>750</v>
      </c>
      <c r="C160" s="16" t="s">
        <v>135</v>
      </c>
      <c r="D160" s="16" t="s">
        <v>751</v>
      </c>
      <c r="E160" s="16" t="s">
        <v>71</v>
      </c>
      <c r="F160" s="16" t="s">
        <v>72</v>
      </c>
      <c r="G160" s="16" t="s">
        <v>72</v>
      </c>
      <c r="H160" s="16"/>
      <c r="I160" s="16" t="s">
        <v>252</v>
      </c>
      <c r="J160" s="16" t="s">
        <v>752</v>
      </c>
      <c r="K160" s="16"/>
      <c r="L160" s="16"/>
      <c r="M160" s="16" t="s">
        <v>77</v>
      </c>
      <c r="N160" s="16" t="s">
        <v>72</v>
      </c>
      <c r="O160" s="16" t="s">
        <v>20</v>
      </c>
      <c r="P160" s="16" t="s">
        <v>492</v>
      </c>
      <c r="Q160" s="16" t="s">
        <v>492</v>
      </c>
      <c r="R160" s="16" t="s">
        <v>72</v>
      </c>
      <c r="S160" s="16" t="s">
        <v>72</v>
      </c>
      <c r="T160" s="16" t="s">
        <v>72</v>
      </c>
      <c r="U160" s="16" t="s">
        <v>753</v>
      </c>
    </row>
    <row r="161" customFormat="false" ht="15" hidden="false" customHeight="true" outlineLevel="0" collapsed="false">
      <c r="A161" s="16" t="s">
        <v>754</v>
      </c>
      <c r="B161" s="16" t="s">
        <v>740</v>
      </c>
      <c r="C161" s="16" t="s">
        <v>755</v>
      </c>
      <c r="D161" s="16" t="s">
        <v>756</v>
      </c>
      <c r="E161" s="16" t="s">
        <v>71</v>
      </c>
      <c r="F161" s="16" t="s">
        <v>72</v>
      </c>
      <c r="G161" s="16" t="s">
        <v>72</v>
      </c>
      <c r="H161" s="16"/>
      <c r="I161" s="16" t="s">
        <v>73</v>
      </c>
      <c r="J161" s="16" t="s">
        <v>757</v>
      </c>
      <c r="K161" s="16"/>
      <c r="L161" s="16"/>
      <c r="M161" s="16" t="s">
        <v>77</v>
      </c>
      <c r="N161" s="16" t="s">
        <v>72</v>
      </c>
      <c r="O161" s="16" t="s">
        <v>20</v>
      </c>
      <c r="P161" s="16" t="s">
        <v>492</v>
      </c>
      <c r="Q161" s="16" t="s">
        <v>492</v>
      </c>
      <c r="R161" s="16" t="s">
        <v>72</v>
      </c>
      <c r="S161" s="16" t="s">
        <v>72</v>
      </c>
      <c r="T161" s="16" t="s">
        <v>72</v>
      </c>
      <c r="U161" s="16" t="s">
        <v>758</v>
      </c>
    </row>
    <row r="162" customFormat="false" ht="15" hidden="false" customHeight="true" outlineLevel="0" collapsed="false">
      <c r="A162" s="16" t="s">
        <v>759</v>
      </c>
      <c r="B162" s="16" t="s">
        <v>740</v>
      </c>
      <c r="C162" s="16" t="s">
        <v>760</v>
      </c>
      <c r="D162" s="16" t="s">
        <v>761</v>
      </c>
      <c r="E162" s="16" t="s">
        <v>71</v>
      </c>
      <c r="F162" s="16" t="s">
        <v>72</v>
      </c>
      <c r="G162" s="16" t="s">
        <v>72</v>
      </c>
      <c r="H162" s="16"/>
      <c r="I162" s="16" t="s">
        <v>73</v>
      </c>
      <c r="J162" s="16" t="s">
        <v>762</v>
      </c>
      <c r="K162" s="16" t="s">
        <v>763</v>
      </c>
      <c r="L162" s="16"/>
      <c r="M162" s="16" t="s">
        <v>77</v>
      </c>
      <c r="N162" s="16" t="s">
        <v>72</v>
      </c>
      <c r="O162" s="16" t="s">
        <v>20</v>
      </c>
      <c r="P162" s="16" t="s">
        <v>492</v>
      </c>
      <c r="Q162" s="16" t="s">
        <v>492</v>
      </c>
      <c r="R162" s="16" t="s">
        <v>72</v>
      </c>
      <c r="S162" s="16" t="s">
        <v>72</v>
      </c>
      <c r="T162" s="16" t="s">
        <v>72</v>
      </c>
      <c r="U162" s="16" t="s">
        <v>764</v>
      </c>
    </row>
    <row r="163" customFormat="false" ht="15" hidden="false" customHeight="true" outlineLevel="0" collapsed="false">
      <c r="A163" s="16" t="s">
        <v>765</v>
      </c>
      <c r="B163" s="16" t="s">
        <v>740</v>
      </c>
      <c r="C163" s="16" t="s">
        <v>135</v>
      </c>
      <c r="D163" s="16" t="s">
        <v>766</v>
      </c>
      <c r="E163" s="16" t="s">
        <v>71</v>
      </c>
      <c r="F163" s="16" t="s">
        <v>71</v>
      </c>
      <c r="G163" s="16" t="s">
        <v>72</v>
      </c>
      <c r="H163" s="16"/>
      <c r="I163" s="16" t="s">
        <v>73</v>
      </c>
      <c r="J163" s="16" t="s">
        <v>767</v>
      </c>
      <c r="K163" s="16"/>
      <c r="L163" s="16"/>
      <c r="M163" s="16" t="s">
        <v>77</v>
      </c>
      <c r="N163" s="16" t="s">
        <v>72</v>
      </c>
      <c r="O163" s="16" t="s">
        <v>20</v>
      </c>
      <c r="P163" s="16" t="s">
        <v>492</v>
      </c>
      <c r="Q163" s="16" t="s">
        <v>492</v>
      </c>
      <c r="R163" s="16" t="s">
        <v>72</v>
      </c>
      <c r="S163" s="16" t="s">
        <v>72</v>
      </c>
      <c r="T163" s="16" t="s">
        <v>72</v>
      </c>
      <c r="U163" s="16" t="s">
        <v>768</v>
      </c>
    </row>
    <row r="164" customFormat="false" ht="15" hidden="false" customHeight="true" outlineLevel="0" collapsed="false">
      <c r="A164" s="16" t="s">
        <v>769</v>
      </c>
      <c r="B164" s="16" t="s">
        <v>740</v>
      </c>
      <c r="C164" s="16" t="s">
        <v>333</v>
      </c>
      <c r="D164" s="16" t="s">
        <v>770</v>
      </c>
      <c r="E164" s="16" t="s">
        <v>71</v>
      </c>
      <c r="F164" s="16" t="s">
        <v>72</v>
      </c>
      <c r="G164" s="16" t="s">
        <v>72</v>
      </c>
      <c r="H164" s="16"/>
      <c r="I164" s="16" t="s">
        <v>73</v>
      </c>
      <c r="J164" s="16" t="s">
        <v>771</v>
      </c>
      <c r="K164" s="16"/>
      <c r="L164" s="16"/>
      <c r="M164" s="16" t="s">
        <v>77</v>
      </c>
      <c r="N164" s="16" t="s">
        <v>72</v>
      </c>
      <c r="O164" s="16" t="s">
        <v>20</v>
      </c>
      <c r="P164" s="16" t="s">
        <v>492</v>
      </c>
      <c r="Q164" s="16" t="s">
        <v>492</v>
      </c>
      <c r="R164" s="16" t="s">
        <v>72</v>
      </c>
      <c r="S164" s="16" t="s">
        <v>72</v>
      </c>
      <c r="T164" s="16" t="s">
        <v>72</v>
      </c>
      <c r="U164" s="16" t="s">
        <v>772</v>
      </c>
    </row>
    <row r="165" customFormat="false" ht="15" hidden="false" customHeight="true" outlineLevel="0" collapsed="false">
      <c r="A165" s="16" t="s">
        <v>773</v>
      </c>
      <c r="B165" s="16" t="s">
        <v>740</v>
      </c>
      <c r="C165" s="16" t="s">
        <v>774</v>
      </c>
      <c r="D165" s="16" t="s">
        <v>775</v>
      </c>
      <c r="E165" s="16" t="s">
        <v>71</v>
      </c>
      <c r="F165" s="16" t="s">
        <v>72</v>
      </c>
      <c r="G165" s="16" t="s">
        <v>72</v>
      </c>
      <c r="H165" s="16"/>
      <c r="I165" s="16" t="s">
        <v>73</v>
      </c>
      <c r="J165" s="16" t="s">
        <v>776</v>
      </c>
      <c r="K165" s="16"/>
      <c r="L165" s="16"/>
      <c r="M165" s="16" t="s">
        <v>77</v>
      </c>
      <c r="N165" s="16" t="s">
        <v>72</v>
      </c>
      <c r="O165" s="16" t="s">
        <v>20</v>
      </c>
      <c r="P165" s="16" t="s">
        <v>492</v>
      </c>
      <c r="Q165" s="16" t="s">
        <v>492</v>
      </c>
      <c r="R165" s="16" t="s">
        <v>72</v>
      </c>
      <c r="S165" s="16" t="s">
        <v>72</v>
      </c>
      <c r="T165" s="16" t="s">
        <v>72</v>
      </c>
      <c r="U165" s="16" t="s">
        <v>777</v>
      </c>
    </row>
    <row r="166" customFormat="false" ht="15" hidden="false" customHeight="true" outlineLevel="0" collapsed="false">
      <c r="A166" s="16" t="s">
        <v>778</v>
      </c>
      <c r="B166" s="16" t="s">
        <v>740</v>
      </c>
      <c r="C166" s="16" t="s">
        <v>135</v>
      </c>
      <c r="D166" s="16" t="s">
        <v>779</v>
      </c>
      <c r="E166" s="16" t="s">
        <v>71</v>
      </c>
      <c r="F166" s="16" t="s">
        <v>72</v>
      </c>
      <c r="G166" s="16" t="s">
        <v>72</v>
      </c>
      <c r="H166" s="16"/>
      <c r="I166" s="16" t="s">
        <v>73</v>
      </c>
      <c r="J166" s="16" t="s">
        <v>780</v>
      </c>
      <c r="K166" s="16"/>
      <c r="L166" s="16"/>
      <c r="M166" s="16" t="s">
        <v>77</v>
      </c>
      <c r="N166" s="16" t="s">
        <v>72</v>
      </c>
      <c r="O166" s="16" t="s">
        <v>20</v>
      </c>
      <c r="P166" s="16" t="s">
        <v>492</v>
      </c>
      <c r="Q166" s="16" t="s">
        <v>492</v>
      </c>
      <c r="R166" s="16" t="s">
        <v>72</v>
      </c>
      <c r="S166" s="16" t="s">
        <v>72</v>
      </c>
      <c r="T166" s="16" t="s">
        <v>72</v>
      </c>
      <c r="U166" s="16" t="s">
        <v>781</v>
      </c>
    </row>
    <row r="167" customFormat="false" ht="15" hidden="false" customHeight="true" outlineLevel="0" collapsed="false">
      <c r="A167" s="16" t="s">
        <v>782</v>
      </c>
      <c r="B167" s="16" t="s">
        <v>740</v>
      </c>
      <c r="C167" s="16" t="s">
        <v>250</v>
      </c>
      <c r="D167" s="16" t="s">
        <v>783</v>
      </c>
      <c r="E167" s="16" t="s">
        <v>71</v>
      </c>
      <c r="F167" s="16" t="s">
        <v>72</v>
      </c>
      <c r="G167" s="16" t="s">
        <v>72</v>
      </c>
      <c r="H167" s="16"/>
      <c r="I167" s="16" t="s">
        <v>73</v>
      </c>
      <c r="J167" s="16" t="s">
        <v>784</v>
      </c>
      <c r="K167" s="16"/>
      <c r="L167" s="16"/>
      <c r="M167" s="16" t="s">
        <v>77</v>
      </c>
      <c r="N167" s="16" t="s">
        <v>72</v>
      </c>
      <c r="O167" s="16" t="s">
        <v>20</v>
      </c>
      <c r="P167" s="16" t="s">
        <v>492</v>
      </c>
      <c r="Q167" s="16" t="s">
        <v>492</v>
      </c>
      <c r="R167" s="16" t="s">
        <v>72</v>
      </c>
      <c r="S167" s="16" t="s">
        <v>72</v>
      </c>
      <c r="T167" s="16" t="s">
        <v>72</v>
      </c>
      <c r="U167" s="16" t="s">
        <v>785</v>
      </c>
    </row>
    <row r="168" customFormat="false" ht="15" hidden="false" customHeight="true" outlineLevel="0" collapsed="false">
      <c r="A168" s="16" t="s">
        <v>786</v>
      </c>
      <c r="B168" s="16" t="s">
        <v>740</v>
      </c>
      <c r="C168" s="16" t="s">
        <v>135</v>
      </c>
      <c r="D168" s="16" t="s">
        <v>787</v>
      </c>
      <c r="E168" s="16" t="s">
        <v>71</v>
      </c>
      <c r="F168" s="16" t="s">
        <v>72</v>
      </c>
      <c r="G168" s="16" t="s">
        <v>72</v>
      </c>
      <c r="H168" s="16"/>
      <c r="I168" s="16" t="s">
        <v>73</v>
      </c>
      <c r="J168" s="16" t="s">
        <v>788</v>
      </c>
      <c r="K168" s="16"/>
      <c r="L168" s="16"/>
      <c r="M168" s="16" t="s">
        <v>77</v>
      </c>
      <c r="N168" s="16" t="s">
        <v>72</v>
      </c>
      <c r="O168" s="16" t="s">
        <v>20</v>
      </c>
      <c r="P168" s="16" t="s">
        <v>492</v>
      </c>
      <c r="Q168" s="16" t="s">
        <v>492</v>
      </c>
      <c r="R168" s="16" t="s">
        <v>72</v>
      </c>
      <c r="S168" s="16" t="s">
        <v>72</v>
      </c>
      <c r="T168" s="16" t="s">
        <v>72</v>
      </c>
      <c r="U168" s="16" t="s">
        <v>789</v>
      </c>
    </row>
    <row r="169" customFormat="false" ht="15" hidden="false" customHeight="true" outlineLevel="0" collapsed="false">
      <c r="A169" s="16" t="s">
        <v>790</v>
      </c>
      <c r="B169" s="16" t="s">
        <v>791</v>
      </c>
      <c r="C169" s="16" t="s">
        <v>206</v>
      </c>
      <c r="D169" s="16" t="s">
        <v>792</v>
      </c>
      <c r="E169" s="16" t="s">
        <v>71</v>
      </c>
      <c r="F169" s="16" t="s">
        <v>72</v>
      </c>
      <c r="G169" s="16" t="s">
        <v>72</v>
      </c>
      <c r="H169" s="16"/>
      <c r="I169" s="16" t="s">
        <v>73</v>
      </c>
      <c r="J169" s="16" t="s">
        <v>793</v>
      </c>
      <c r="K169" s="16"/>
      <c r="L169" s="16"/>
      <c r="M169" s="16" t="s">
        <v>77</v>
      </c>
      <c r="N169" s="16" t="s">
        <v>72</v>
      </c>
      <c r="O169" s="16" t="s">
        <v>20</v>
      </c>
      <c r="P169" s="16" t="s">
        <v>492</v>
      </c>
      <c r="Q169" s="16" t="s">
        <v>492</v>
      </c>
      <c r="R169" s="16" t="s">
        <v>72</v>
      </c>
      <c r="S169" s="16" t="s">
        <v>72</v>
      </c>
      <c r="T169" s="16" t="s">
        <v>72</v>
      </c>
      <c r="U169" s="16" t="s">
        <v>794</v>
      </c>
    </row>
    <row r="170" customFormat="false" ht="15" hidden="false" customHeight="true" outlineLevel="0" collapsed="false">
      <c r="A170" s="16" t="s">
        <v>795</v>
      </c>
      <c r="B170" s="16" t="s">
        <v>791</v>
      </c>
      <c r="C170" s="16" t="s">
        <v>250</v>
      </c>
      <c r="D170" s="16" t="s">
        <v>796</v>
      </c>
      <c r="E170" s="16" t="s">
        <v>71</v>
      </c>
      <c r="F170" s="16" t="s">
        <v>72</v>
      </c>
      <c r="G170" s="16" t="s">
        <v>72</v>
      </c>
      <c r="H170" s="16"/>
      <c r="I170" s="16" t="s">
        <v>73</v>
      </c>
      <c r="J170" s="16" t="s">
        <v>797</v>
      </c>
      <c r="K170" s="16"/>
      <c r="L170" s="16"/>
      <c r="M170" s="16" t="s">
        <v>77</v>
      </c>
      <c r="N170" s="16" t="s">
        <v>72</v>
      </c>
      <c r="O170" s="16" t="s">
        <v>20</v>
      </c>
      <c r="P170" s="16" t="s">
        <v>492</v>
      </c>
      <c r="Q170" s="16" t="s">
        <v>492</v>
      </c>
      <c r="R170" s="16" t="s">
        <v>72</v>
      </c>
      <c r="S170" s="16" t="s">
        <v>72</v>
      </c>
      <c r="T170" s="16" t="s">
        <v>72</v>
      </c>
      <c r="U170" s="16" t="s">
        <v>798</v>
      </c>
    </row>
    <row r="171" customFormat="false" ht="15" hidden="false" customHeight="true" outlineLevel="0" collapsed="false">
      <c r="A171" s="16" t="s">
        <v>799</v>
      </c>
      <c r="B171" s="16" t="s">
        <v>791</v>
      </c>
      <c r="C171" s="16" t="s">
        <v>135</v>
      </c>
      <c r="D171" s="16" t="s">
        <v>800</v>
      </c>
      <c r="E171" s="16" t="s">
        <v>71</v>
      </c>
      <c r="F171" s="16" t="s">
        <v>72</v>
      </c>
      <c r="G171" s="16" t="s">
        <v>72</v>
      </c>
      <c r="H171" s="16"/>
      <c r="I171" s="16" t="s">
        <v>73</v>
      </c>
      <c r="J171" s="16" t="s">
        <v>801</v>
      </c>
      <c r="K171" s="16"/>
      <c r="L171" s="16"/>
      <c r="M171" s="16" t="s">
        <v>77</v>
      </c>
      <c r="N171" s="16" t="s">
        <v>72</v>
      </c>
      <c r="O171" s="16" t="s">
        <v>20</v>
      </c>
      <c r="P171" s="16" t="s">
        <v>492</v>
      </c>
      <c r="Q171" s="16" t="s">
        <v>492</v>
      </c>
      <c r="R171" s="16" t="s">
        <v>72</v>
      </c>
      <c r="S171" s="16" t="s">
        <v>72</v>
      </c>
      <c r="T171" s="16" t="s">
        <v>72</v>
      </c>
      <c r="U171" s="16" t="s">
        <v>802</v>
      </c>
    </row>
    <row r="172" customFormat="false" ht="15" hidden="false" customHeight="true" outlineLevel="0" collapsed="false">
      <c r="A172" s="16" t="s">
        <v>803</v>
      </c>
      <c r="B172" s="16" t="s">
        <v>791</v>
      </c>
      <c r="C172" s="16" t="s">
        <v>250</v>
      </c>
      <c r="D172" s="16" t="s">
        <v>804</v>
      </c>
      <c r="E172" s="16" t="s">
        <v>71</v>
      </c>
      <c r="F172" s="16" t="s">
        <v>72</v>
      </c>
      <c r="G172" s="16" t="s">
        <v>72</v>
      </c>
      <c r="H172" s="16"/>
      <c r="I172" s="16" t="s">
        <v>73</v>
      </c>
      <c r="J172" s="16" t="s">
        <v>805</v>
      </c>
      <c r="K172" s="16"/>
      <c r="L172" s="16"/>
      <c r="M172" s="16" t="s">
        <v>77</v>
      </c>
      <c r="N172" s="16" t="s">
        <v>72</v>
      </c>
      <c r="O172" s="16" t="s">
        <v>20</v>
      </c>
      <c r="P172" s="16" t="s">
        <v>492</v>
      </c>
      <c r="Q172" s="16" t="s">
        <v>492</v>
      </c>
      <c r="R172" s="16" t="s">
        <v>72</v>
      </c>
      <c r="S172" s="16" t="s">
        <v>72</v>
      </c>
      <c r="T172" s="16" t="s">
        <v>72</v>
      </c>
      <c r="U172" s="16" t="s">
        <v>806</v>
      </c>
    </row>
    <row r="173" customFormat="false" ht="15" hidden="false" customHeight="true" outlineLevel="0" collapsed="false">
      <c r="A173" s="16" t="s">
        <v>807</v>
      </c>
      <c r="B173" s="16" t="s">
        <v>791</v>
      </c>
      <c r="C173" s="16" t="s">
        <v>206</v>
      </c>
      <c r="D173" s="16" t="s">
        <v>808</v>
      </c>
      <c r="E173" s="16" t="s">
        <v>71</v>
      </c>
      <c r="F173" s="16" t="s">
        <v>72</v>
      </c>
      <c r="G173" s="16" t="s">
        <v>72</v>
      </c>
      <c r="H173" s="16"/>
      <c r="I173" s="16" t="s">
        <v>73</v>
      </c>
      <c r="J173" s="16" t="s">
        <v>809</v>
      </c>
      <c r="K173" s="16"/>
      <c r="L173" s="16"/>
      <c r="M173" s="16" t="s">
        <v>77</v>
      </c>
      <c r="N173" s="16" t="s">
        <v>72</v>
      </c>
      <c r="O173" s="16" t="s">
        <v>20</v>
      </c>
      <c r="P173" s="16" t="s">
        <v>492</v>
      </c>
      <c r="Q173" s="16" t="s">
        <v>492</v>
      </c>
      <c r="R173" s="16" t="s">
        <v>72</v>
      </c>
      <c r="S173" s="16" t="s">
        <v>72</v>
      </c>
      <c r="T173" s="16" t="s">
        <v>72</v>
      </c>
      <c r="U173" s="16" t="s">
        <v>810</v>
      </c>
    </row>
    <row r="174" customFormat="false" ht="15" hidden="false" customHeight="true" outlineLevel="0" collapsed="false">
      <c r="A174" s="16" t="s">
        <v>811</v>
      </c>
      <c r="B174" s="16" t="s">
        <v>812</v>
      </c>
      <c r="C174" s="16" t="s">
        <v>813</v>
      </c>
      <c r="D174" s="16" t="s">
        <v>814</v>
      </c>
      <c r="E174" s="16" t="s">
        <v>71</v>
      </c>
      <c r="F174" s="16" t="s">
        <v>72</v>
      </c>
      <c r="G174" s="16" t="s">
        <v>72</v>
      </c>
      <c r="H174" s="16"/>
      <c r="I174" s="16" t="s">
        <v>73</v>
      </c>
      <c r="J174" s="16"/>
      <c r="K174" s="16"/>
      <c r="L174" s="16" t="s">
        <v>815</v>
      </c>
      <c r="M174" s="16" t="s">
        <v>240</v>
      </c>
      <c r="N174" s="16" t="s">
        <v>72</v>
      </c>
      <c r="O174" s="16" t="s">
        <v>241</v>
      </c>
      <c r="P174" s="16" t="s">
        <v>492</v>
      </c>
      <c r="Q174" s="16" t="s">
        <v>492</v>
      </c>
      <c r="R174" s="16" t="s">
        <v>72</v>
      </c>
      <c r="S174" s="16" t="s">
        <v>72</v>
      </c>
      <c r="T174" s="16" t="s">
        <v>72</v>
      </c>
      <c r="U174" s="16" t="s">
        <v>816</v>
      </c>
    </row>
    <row r="175" customFormat="false" ht="15" hidden="false" customHeight="true" outlineLevel="0" collapsed="false">
      <c r="A175" s="16" t="s">
        <v>817</v>
      </c>
      <c r="B175" s="16" t="s">
        <v>818</v>
      </c>
      <c r="C175" s="16" t="s">
        <v>819</v>
      </c>
      <c r="D175" s="16" t="s">
        <v>820</v>
      </c>
      <c r="E175" s="16" t="s">
        <v>71</v>
      </c>
      <c r="F175" s="16" t="s">
        <v>72</v>
      </c>
      <c r="G175" s="16" t="s">
        <v>72</v>
      </c>
      <c r="H175" s="16"/>
      <c r="I175" s="16" t="s">
        <v>73</v>
      </c>
      <c r="J175" s="16" t="s">
        <v>821</v>
      </c>
      <c r="K175" s="16"/>
      <c r="L175" s="16" t="s">
        <v>822</v>
      </c>
      <c r="M175" s="16" t="s">
        <v>77</v>
      </c>
      <c r="N175" s="16" t="s">
        <v>72</v>
      </c>
      <c r="O175" s="16" t="s">
        <v>20</v>
      </c>
      <c r="P175" s="16" t="s">
        <v>492</v>
      </c>
      <c r="Q175" s="16" t="s">
        <v>492</v>
      </c>
      <c r="R175" s="16" t="s">
        <v>72</v>
      </c>
      <c r="S175" s="16" t="s">
        <v>72</v>
      </c>
      <c r="T175" s="16" t="s">
        <v>72</v>
      </c>
      <c r="U175" s="16" t="s">
        <v>823</v>
      </c>
    </row>
    <row r="176" customFormat="false" ht="15" hidden="false" customHeight="true" outlineLevel="0" collapsed="false">
      <c r="A176" s="16" t="s">
        <v>824</v>
      </c>
      <c r="B176" s="16" t="s">
        <v>825</v>
      </c>
      <c r="C176" s="16" t="s">
        <v>135</v>
      </c>
      <c r="D176" s="16" t="s">
        <v>826</v>
      </c>
      <c r="E176" s="16" t="s">
        <v>71</v>
      </c>
      <c r="F176" s="16" t="s">
        <v>71</v>
      </c>
      <c r="G176" s="16" t="s">
        <v>72</v>
      </c>
      <c r="H176" s="16"/>
      <c r="I176" s="16" t="s">
        <v>73</v>
      </c>
      <c r="J176" s="16" t="s">
        <v>827</v>
      </c>
      <c r="K176" s="16"/>
      <c r="L176" s="16"/>
      <c r="M176" s="16" t="s">
        <v>77</v>
      </c>
      <c r="N176" s="16" t="s">
        <v>72</v>
      </c>
      <c r="O176" s="16" t="s">
        <v>20</v>
      </c>
      <c r="P176" s="16" t="s">
        <v>492</v>
      </c>
      <c r="Q176" s="16" t="s">
        <v>492</v>
      </c>
      <c r="R176" s="16" t="s">
        <v>72</v>
      </c>
      <c r="S176" s="16" t="s">
        <v>72</v>
      </c>
      <c r="T176" s="16" t="s">
        <v>72</v>
      </c>
      <c r="U176" s="16" t="s">
        <v>828</v>
      </c>
    </row>
    <row r="177" customFormat="false" ht="15" hidden="false" customHeight="true" outlineLevel="0" collapsed="false">
      <c r="A177" s="16" t="s">
        <v>829</v>
      </c>
      <c r="B177" s="16" t="s">
        <v>825</v>
      </c>
      <c r="C177" s="16" t="s">
        <v>830</v>
      </c>
      <c r="D177" s="16" t="s">
        <v>831</v>
      </c>
      <c r="E177" s="16" t="s">
        <v>71</v>
      </c>
      <c r="F177" s="16" t="s">
        <v>72</v>
      </c>
      <c r="G177" s="16" t="s">
        <v>72</v>
      </c>
      <c r="H177" s="16"/>
      <c r="I177" s="16" t="s">
        <v>73</v>
      </c>
      <c r="J177" s="16" t="s">
        <v>832</v>
      </c>
      <c r="K177" s="16"/>
      <c r="L177" s="16"/>
      <c r="M177" s="16" t="s">
        <v>77</v>
      </c>
      <c r="N177" s="16" t="s">
        <v>72</v>
      </c>
      <c r="O177" s="16" t="s">
        <v>20</v>
      </c>
      <c r="P177" s="16" t="s">
        <v>492</v>
      </c>
      <c r="Q177" s="16" t="s">
        <v>492</v>
      </c>
      <c r="R177" s="16" t="s">
        <v>72</v>
      </c>
      <c r="S177" s="16" t="s">
        <v>72</v>
      </c>
      <c r="T177" s="16" t="s">
        <v>72</v>
      </c>
      <c r="U177" s="16" t="s">
        <v>833</v>
      </c>
    </row>
    <row r="178" customFormat="false" ht="15" hidden="false" customHeight="true" outlineLevel="0" collapsed="false">
      <c r="A178" s="16" t="s">
        <v>834</v>
      </c>
      <c r="B178" s="16" t="s">
        <v>825</v>
      </c>
      <c r="C178" s="16" t="s">
        <v>250</v>
      </c>
      <c r="D178" s="16" t="s">
        <v>835</v>
      </c>
      <c r="E178" s="16" t="s">
        <v>71</v>
      </c>
      <c r="F178" s="16" t="s">
        <v>71</v>
      </c>
      <c r="G178" s="16" t="s">
        <v>72</v>
      </c>
      <c r="H178" s="16"/>
      <c r="I178" s="16" t="s">
        <v>73</v>
      </c>
      <c r="J178" s="16" t="s">
        <v>836</v>
      </c>
      <c r="K178" s="16"/>
      <c r="L178" s="16"/>
      <c r="M178" s="16" t="s">
        <v>77</v>
      </c>
      <c r="N178" s="16" t="s">
        <v>72</v>
      </c>
      <c r="O178" s="16" t="s">
        <v>20</v>
      </c>
      <c r="P178" s="16" t="s">
        <v>492</v>
      </c>
      <c r="Q178" s="16" t="s">
        <v>492</v>
      </c>
      <c r="R178" s="16" t="s">
        <v>72</v>
      </c>
      <c r="S178" s="16" t="s">
        <v>72</v>
      </c>
      <c r="T178" s="16" t="s">
        <v>72</v>
      </c>
      <c r="U178" s="16" t="s">
        <v>837</v>
      </c>
    </row>
    <row r="179" customFormat="false" ht="15" hidden="false" customHeight="true" outlineLevel="0" collapsed="false">
      <c r="A179" s="16" t="s">
        <v>838</v>
      </c>
      <c r="B179" s="16" t="s">
        <v>825</v>
      </c>
      <c r="C179" s="16" t="s">
        <v>333</v>
      </c>
      <c r="D179" s="16" t="s">
        <v>839</v>
      </c>
      <c r="E179" s="16" t="s">
        <v>71</v>
      </c>
      <c r="F179" s="16" t="s">
        <v>72</v>
      </c>
      <c r="G179" s="16" t="s">
        <v>72</v>
      </c>
      <c r="H179" s="16"/>
      <c r="I179" s="16" t="s">
        <v>73</v>
      </c>
      <c r="J179" s="16" t="s">
        <v>840</v>
      </c>
      <c r="K179" s="16"/>
      <c r="L179" s="16"/>
      <c r="M179" s="16" t="s">
        <v>77</v>
      </c>
      <c r="N179" s="16" t="s">
        <v>72</v>
      </c>
      <c r="O179" s="16" t="s">
        <v>20</v>
      </c>
      <c r="P179" s="16" t="s">
        <v>492</v>
      </c>
      <c r="Q179" s="16" t="s">
        <v>492</v>
      </c>
      <c r="R179" s="16" t="s">
        <v>72</v>
      </c>
      <c r="S179" s="16" t="s">
        <v>72</v>
      </c>
      <c r="T179" s="16" t="s">
        <v>72</v>
      </c>
      <c r="U179" s="16" t="s">
        <v>841</v>
      </c>
    </row>
    <row r="180" customFormat="false" ht="15" hidden="false" customHeight="true" outlineLevel="0" collapsed="false">
      <c r="B180" s="17"/>
      <c r="E180" s="17"/>
      <c r="F180" s="17"/>
      <c r="G180" s="17"/>
      <c r="I180" s="17"/>
      <c r="M180" s="17"/>
      <c r="N180" s="17"/>
      <c r="O180" s="17"/>
      <c r="R180" s="17"/>
      <c r="S180" s="17"/>
      <c r="T180" s="17"/>
    </row>
    <row r="181" customFormat="false" ht="15" hidden="false" customHeight="true" outlineLevel="0" collapsed="false">
      <c r="B181" s="17"/>
      <c r="E181" s="17"/>
      <c r="F181" s="17"/>
      <c r="G181" s="17"/>
      <c r="I181" s="17"/>
      <c r="M181" s="17"/>
      <c r="N181" s="17"/>
      <c r="O181" s="17"/>
      <c r="R181" s="17"/>
      <c r="S181" s="17"/>
      <c r="T181" s="17"/>
    </row>
    <row r="182" customFormat="false" ht="15" hidden="false" customHeight="true" outlineLevel="0" collapsed="false">
      <c r="B182" s="17"/>
      <c r="E182" s="17"/>
      <c r="F182" s="17"/>
      <c r="G182" s="17"/>
      <c r="I182" s="17"/>
      <c r="M182" s="17"/>
      <c r="N182" s="17"/>
      <c r="O182" s="17"/>
      <c r="R182" s="17"/>
      <c r="S182" s="17"/>
      <c r="T182" s="17"/>
    </row>
    <row r="183" customFormat="false" ht="15" hidden="false" customHeight="true" outlineLevel="0" collapsed="false">
      <c r="B183" s="17"/>
      <c r="E183" s="17"/>
      <c r="F183" s="17"/>
      <c r="G183" s="17"/>
      <c r="I183" s="17"/>
      <c r="M183" s="17"/>
      <c r="N183" s="17"/>
      <c r="O183" s="17"/>
      <c r="R183" s="17"/>
      <c r="S183" s="17"/>
      <c r="T183" s="17"/>
    </row>
    <row r="184" customFormat="false" ht="15" hidden="false" customHeight="true" outlineLevel="0" collapsed="false">
      <c r="B184" s="17"/>
      <c r="E184" s="17"/>
      <c r="F184" s="17"/>
      <c r="G184" s="17"/>
      <c r="I184" s="17"/>
      <c r="M184" s="17"/>
      <c r="N184" s="17"/>
      <c r="O184" s="17"/>
      <c r="R184" s="17"/>
      <c r="S184" s="17"/>
      <c r="T184" s="17"/>
    </row>
    <row r="185" customFormat="false" ht="15" hidden="false" customHeight="true" outlineLevel="0" collapsed="false">
      <c r="B185" s="17"/>
      <c r="E185" s="17"/>
      <c r="F185" s="17"/>
      <c r="G185" s="17"/>
      <c r="I185" s="17"/>
      <c r="M185" s="17"/>
      <c r="N185" s="17"/>
      <c r="O185" s="17"/>
      <c r="R185" s="17"/>
      <c r="S185" s="17"/>
      <c r="T185" s="17"/>
    </row>
    <row r="186" customFormat="false" ht="15" hidden="false" customHeight="true" outlineLevel="0" collapsed="false">
      <c r="B186" s="17"/>
      <c r="E186" s="17"/>
      <c r="F186" s="17"/>
      <c r="G186" s="17"/>
      <c r="I186" s="17"/>
      <c r="M186" s="17"/>
      <c r="N186" s="17"/>
      <c r="O186" s="17"/>
      <c r="R186" s="17"/>
      <c r="S186" s="17"/>
      <c r="T186" s="17"/>
    </row>
    <row r="187" customFormat="false" ht="15" hidden="false" customHeight="true" outlineLevel="0" collapsed="false">
      <c r="B187" s="17"/>
      <c r="E187" s="17"/>
      <c r="F187" s="17"/>
      <c r="G187" s="17"/>
      <c r="I187" s="17"/>
      <c r="M187" s="17"/>
      <c r="N187" s="17"/>
      <c r="O187" s="17"/>
      <c r="R187" s="17"/>
      <c r="S187" s="17"/>
      <c r="T187" s="17"/>
    </row>
    <row r="188" customFormat="false" ht="15" hidden="false" customHeight="true" outlineLevel="0" collapsed="false">
      <c r="B188" s="17"/>
      <c r="E188" s="17"/>
      <c r="F188" s="17"/>
      <c r="G188" s="17"/>
      <c r="I188" s="17"/>
      <c r="M188" s="17"/>
      <c r="N188" s="17"/>
      <c r="O188" s="17"/>
      <c r="R188" s="17"/>
      <c r="S188" s="17"/>
      <c r="T188" s="17"/>
    </row>
    <row r="189" customFormat="false" ht="15" hidden="false" customHeight="true" outlineLevel="0" collapsed="false">
      <c r="B189" s="17"/>
      <c r="E189" s="17"/>
      <c r="F189" s="17"/>
      <c r="G189" s="17"/>
      <c r="I189" s="17"/>
      <c r="M189" s="17"/>
      <c r="N189" s="17"/>
      <c r="O189" s="17"/>
      <c r="R189" s="17"/>
      <c r="S189" s="17"/>
      <c r="T189" s="17"/>
    </row>
    <row r="190" customFormat="false" ht="15" hidden="false" customHeight="true" outlineLevel="0" collapsed="false">
      <c r="B190" s="17"/>
      <c r="E190" s="17"/>
      <c r="F190" s="17"/>
      <c r="G190" s="17"/>
      <c r="I190" s="17"/>
      <c r="M190" s="17"/>
      <c r="N190" s="17"/>
      <c r="O190" s="17"/>
      <c r="R190" s="17"/>
      <c r="S190" s="17"/>
      <c r="T190" s="17"/>
    </row>
    <row r="191" customFormat="false" ht="15" hidden="false" customHeight="true" outlineLevel="0" collapsed="false">
      <c r="B191" s="17"/>
      <c r="E191" s="17"/>
      <c r="F191" s="17"/>
      <c r="G191" s="17"/>
      <c r="I191" s="17"/>
      <c r="M191" s="17"/>
      <c r="N191" s="17"/>
      <c r="O191" s="17"/>
      <c r="R191" s="17"/>
      <c r="S191" s="17"/>
      <c r="T191" s="17"/>
    </row>
    <row r="192" customFormat="false" ht="15" hidden="false" customHeight="true" outlineLevel="0" collapsed="false">
      <c r="B192" s="17"/>
      <c r="E192" s="17"/>
      <c r="F192" s="17"/>
      <c r="G192" s="17"/>
      <c r="I192" s="17"/>
      <c r="M192" s="17"/>
      <c r="N192" s="17"/>
      <c r="O192" s="17"/>
      <c r="R192" s="17"/>
      <c r="S192" s="17"/>
      <c r="T192" s="17"/>
    </row>
    <row r="193" customFormat="false" ht="15" hidden="false" customHeight="true" outlineLevel="0" collapsed="false">
      <c r="B193" s="17"/>
      <c r="E193" s="17"/>
      <c r="F193" s="17"/>
      <c r="G193" s="17"/>
      <c r="I193" s="17"/>
      <c r="M193" s="17"/>
      <c r="N193" s="17"/>
      <c r="O193" s="17"/>
      <c r="R193" s="17"/>
      <c r="S193" s="17"/>
      <c r="T193" s="17"/>
    </row>
    <row r="194" customFormat="false" ht="15" hidden="false" customHeight="true" outlineLevel="0" collapsed="false">
      <c r="B194" s="17"/>
      <c r="E194" s="17"/>
      <c r="F194" s="17"/>
      <c r="G194" s="17"/>
      <c r="I194" s="17"/>
      <c r="M194" s="17"/>
      <c r="N194" s="17"/>
      <c r="O194" s="17"/>
      <c r="R194" s="17"/>
      <c r="S194" s="17"/>
      <c r="T194" s="17"/>
    </row>
    <row r="195" customFormat="false" ht="15" hidden="false" customHeight="true" outlineLevel="0" collapsed="false">
      <c r="B195" s="17"/>
      <c r="E195" s="17"/>
      <c r="F195" s="17"/>
      <c r="G195" s="17"/>
      <c r="I195" s="17"/>
      <c r="M195" s="17"/>
      <c r="N195" s="17"/>
      <c r="O195" s="17"/>
      <c r="R195" s="17"/>
      <c r="S195" s="17"/>
      <c r="T195" s="17"/>
    </row>
    <row r="196" customFormat="false" ht="15" hidden="false" customHeight="true" outlineLevel="0" collapsed="false">
      <c r="B196" s="17"/>
      <c r="E196" s="17"/>
      <c r="F196" s="17"/>
      <c r="G196" s="17"/>
      <c r="I196" s="17"/>
      <c r="M196" s="17"/>
      <c r="N196" s="17"/>
      <c r="O196" s="17"/>
      <c r="R196" s="17"/>
      <c r="S196" s="17"/>
      <c r="T196" s="17"/>
    </row>
    <row r="197" customFormat="false" ht="15" hidden="false" customHeight="true" outlineLevel="0" collapsed="false">
      <c r="B197" s="17"/>
      <c r="E197" s="17"/>
      <c r="F197" s="17"/>
      <c r="G197" s="17"/>
      <c r="I197" s="17"/>
      <c r="M197" s="17"/>
      <c r="N197" s="17"/>
      <c r="O197" s="17"/>
      <c r="R197" s="17"/>
      <c r="S197" s="17"/>
      <c r="T197" s="17"/>
    </row>
    <row r="198" customFormat="false" ht="15" hidden="false" customHeight="true" outlineLevel="0" collapsed="false">
      <c r="B198" s="17"/>
      <c r="E198" s="17"/>
      <c r="F198" s="17"/>
      <c r="G198" s="17"/>
      <c r="I198" s="17"/>
      <c r="M198" s="17"/>
      <c r="N198" s="17"/>
      <c r="O198" s="17"/>
      <c r="R198" s="17"/>
      <c r="S198" s="17"/>
      <c r="T198" s="17"/>
    </row>
    <row r="199" customFormat="false" ht="15" hidden="false" customHeight="true" outlineLevel="0" collapsed="false">
      <c r="B199" s="17"/>
      <c r="E199" s="17"/>
      <c r="F199" s="17"/>
      <c r="G199" s="17"/>
      <c r="I199" s="17"/>
      <c r="M199" s="17"/>
      <c r="N199" s="17"/>
      <c r="O199" s="17"/>
      <c r="R199" s="17"/>
      <c r="S199" s="17"/>
      <c r="T199" s="17"/>
    </row>
    <row r="200" customFormat="false" ht="15" hidden="false" customHeight="true" outlineLevel="0" collapsed="false">
      <c r="B200" s="17"/>
      <c r="E200" s="17"/>
      <c r="F200" s="17"/>
      <c r="G200" s="17"/>
      <c r="I200" s="17"/>
      <c r="M200" s="17"/>
      <c r="N200" s="17"/>
      <c r="O200" s="17"/>
      <c r="R200" s="17"/>
      <c r="S200" s="17"/>
      <c r="T200" s="17"/>
    </row>
    <row r="201" customFormat="false" ht="15" hidden="false" customHeight="true" outlineLevel="0" collapsed="false">
      <c r="B201" s="17"/>
      <c r="E201" s="17"/>
      <c r="F201" s="17"/>
      <c r="G201" s="17"/>
      <c r="I201" s="17"/>
      <c r="M201" s="17"/>
      <c r="N201" s="17"/>
      <c r="O201" s="17"/>
      <c r="R201" s="17"/>
      <c r="S201" s="17"/>
      <c r="T201" s="17"/>
    </row>
    <row r="202" customFormat="false" ht="15" hidden="false" customHeight="true" outlineLevel="0" collapsed="false">
      <c r="B202" s="17"/>
      <c r="E202" s="17"/>
      <c r="F202" s="17"/>
      <c r="G202" s="17"/>
      <c r="I202" s="17"/>
      <c r="M202" s="17"/>
      <c r="N202" s="17"/>
      <c r="O202" s="17"/>
      <c r="R202" s="17"/>
      <c r="S202" s="17"/>
      <c r="T202" s="17"/>
    </row>
    <row r="203" customFormat="false" ht="15" hidden="false" customHeight="true" outlineLevel="0" collapsed="false">
      <c r="B203" s="17"/>
      <c r="E203" s="17"/>
      <c r="F203" s="17"/>
      <c r="G203" s="17"/>
      <c r="I203" s="17"/>
      <c r="M203" s="17"/>
      <c r="N203" s="17"/>
      <c r="O203" s="17"/>
      <c r="R203" s="17"/>
      <c r="S203" s="17"/>
      <c r="T203" s="17"/>
    </row>
    <row r="204" customFormat="false" ht="15" hidden="false" customHeight="true" outlineLevel="0" collapsed="false">
      <c r="B204" s="17"/>
      <c r="E204" s="17"/>
      <c r="F204" s="17"/>
      <c r="G204" s="17"/>
      <c r="I204" s="17"/>
      <c r="M204" s="17"/>
      <c r="N204" s="17"/>
      <c r="O204" s="17"/>
      <c r="R204" s="17"/>
      <c r="S204" s="17"/>
      <c r="T204" s="17"/>
    </row>
    <row r="205" customFormat="false" ht="15" hidden="false" customHeight="true" outlineLevel="0" collapsed="false">
      <c r="B205" s="17"/>
      <c r="E205" s="17"/>
      <c r="F205" s="17"/>
      <c r="G205" s="17"/>
      <c r="I205" s="17"/>
      <c r="M205" s="17"/>
      <c r="N205" s="17"/>
      <c r="O205" s="17"/>
      <c r="R205" s="17"/>
      <c r="S205" s="17"/>
      <c r="T205" s="17"/>
    </row>
    <row r="206" customFormat="false" ht="15" hidden="false" customHeight="true" outlineLevel="0" collapsed="false">
      <c r="B206" s="17"/>
      <c r="E206" s="17"/>
      <c r="F206" s="17"/>
      <c r="G206" s="17"/>
      <c r="I206" s="17"/>
      <c r="M206" s="17"/>
      <c r="N206" s="17"/>
      <c r="O206" s="17"/>
      <c r="R206" s="17"/>
      <c r="S206" s="17"/>
      <c r="T206" s="17"/>
    </row>
    <row r="207" customFormat="false" ht="15" hidden="false" customHeight="true" outlineLevel="0" collapsed="false">
      <c r="B207" s="17"/>
      <c r="E207" s="17"/>
      <c r="F207" s="17"/>
      <c r="G207" s="17"/>
      <c r="I207" s="17"/>
      <c r="M207" s="17"/>
      <c r="N207" s="17"/>
      <c r="O207" s="17"/>
      <c r="R207" s="17"/>
      <c r="S207" s="17"/>
      <c r="T207" s="17"/>
    </row>
    <row r="208" customFormat="false" ht="15" hidden="false" customHeight="true" outlineLevel="0" collapsed="false">
      <c r="B208" s="17"/>
      <c r="E208" s="17"/>
      <c r="F208" s="17"/>
      <c r="G208" s="17"/>
      <c r="I208" s="17"/>
      <c r="M208" s="17"/>
      <c r="N208" s="17"/>
      <c r="O208" s="17"/>
      <c r="R208" s="17"/>
      <c r="S208" s="17"/>
      <c r="T208" s="17"/>
    </row>
    <row r="209" customFormat="false" ht="15" hidden="false" customHeight="true" outlineLevel="0" collapsed="false">
      <c r="B209" s="17"/>
      <c r="E209" s="17"/>
      <c r="F209" s="17"/>
      <c r="G209" s="17"/>
      <c r="I209" s="17"/>
      <c r="M209" s="17"/>
      <c r="N209" s="17"/>
      <c r="O209" s="17"/>
      <c r="R209" s="17"/>
      <c r="S209" s="17"/>
      <c r="T209" s="17"/>
    </row>
    <row r="210" customFormat="false" ht="15" hidden="false" customHeight="true" outlineLevel="0" collapsed="false">
      <c r="B210" s="17"/>
      <c r="E210" s="17"/>
      <c r="F210" s="17"/>
      <c r="G210" s="17"/>
      <c r="I210" s="17"/>
      <c r="M210" s="17"/>
      <c r="N210" s="17"/>
      <c r="O210" s="17"/>
      <c r="R210" s="17"/>
      <c r="S210" s="17"/>
      <c r="T210" s="17"/>
    </row>
    <row r="211" customFormat="false" ht="15" hidden="false" customHeight="true" outlineLevel="0" collapsed="false">
      <c r="B211" s="17"/>
      <c r="E211" s="17"/>
      <c r="F211" s="17"/>
      <c r="G211" s="17"/>
      <c r="I211" s="17"/>
      <c r="M211" s="17"/>
      <c r="N211" s="17"/>
      <c r="O211" s="17"/>
      <c r="R211" s="17"/>
      <c r="S211" s="17"/>
      <c r="T211" s="17"/>
    </row>
    <row r="212" customFormat="false" ht="15" hidden="false" customHeight="true" outlineLevel="0" collapsed="false">
      <c r="B212" s="17"/>
      <c r="E212" s="17"/>
      <c r="F212" s="17"/>
      <c r="G212" s="17"/>
      <c r="I212" s="17"/>
      <c r="M212" s="17"/>
      <c r="N212" s="17"/>
      <c r="O212" s="17"/>
      <c r="R212" s="17"/>
      <c r="S212" s="17"/>
      <c r="T212" s="17"/>
    </row>
    <row r="213" customFormat="false" ht="15" hidden="false" customHeight="true" outlineLevel="0" collapsed="false">
      <c r="B213" s="17"/>
      <c r="E213" s="17"/>
      <c r="F213" s="17"/>
      <c r="G213" s="17"/>
      <c r="I213" s="17"/>
      <c r="M213" s="17"/>
      <c r="N213" s="17"/>
      <c r="O213" s="17"/>
      <c r="R213" s="17"/>
      <c r="S213" s="17"/>
      <c r="T213" s="17"/>
    </row>
    <row r="214" customFormat="false" ht="15" hidden="false" customHeight="true" outlineLevel="0" collapsed="false">
      <c r="B214" s="17"/>
      <c r="E214" s="17"/>
      <c r="F214" s="17"/>
      <c r="G214" s="17"/>
      <c r="I214" s="17"/>
      <c r="M214" s="17"/>
      <c r="N214" s="17"/>
      <c r="O214" s="17"/>
      <c r="R214" s="17"/>
      <c r="S214" s="17"/>
      <c r="T214" s="17"/>
    </row>
    <row r="215" customFormat="false" ht="15" hidden="false" customHeight="true" outlineLevel="0" collapsed="false">
      <c r="B215" s="17"/>
      <c r="E215" s="17"/>
      <c r="F215" s="17"/>
      <c r="G215" s="17"/>
      <c r="I215" s="17"/>
      <c r="M215" s="17"/>
      <c r="N215" s="17"/>
      <c r="O215" s="17"/>
      <c r="R215" s="17"/>
      <c r="S215" s="17"/>
      <c r="T215" s="17"/>
    </row>
    <row r="216" customFormat="false" ht="15" hidden="false" customHeight="true" outlineLevel="0" collapsed="false">
      <c r="B216" s="17"/>
      <c r="E216" s="17"/>
      <c r="F216" s="17"/>
      <c r="G216" s="17"/>
      <c r="I216" s="17"/>
      <c r="M216" s="17"/>
      <c r="N216" s="17"/>
      <c r="O216" s="17"/>
      <c r="R216" s="17"/>
      <c r="S216" s="17"/>
      <c r="T216" s="17"/>
    </row>
    <row r="217" customFormat="false" ht="15" hidden="false" customHeight="true" outlineLevel="0" collapsed="false">
      <c r="B217" s="17"/>
      <c r="E217" s="17"/>
      <c r="F217" s="17"/>
      <c r="G217" s="17"/>
      <c r="I217" s="17"/>
      <c r="M217" s="17"/>
      <c r="N217" s="17"/>
      <c r="O217" s="17"/>
      <c r="R217" s="17"/>
      <c r="S217" s="17"/>
      <c r="T217" s="17"/>
    </row>
    <row r="218" customFormat="false" ht="15" hidden="false" customHeight="true" outlineLevel="0" collapsed="false">
      <c r="B218" s="17"/>
      <c r="E218" s="17"/>
      <c r="F218" s="17"/>
      <c r="G218" s="17"/>
      <c r="I218" s="17"/>
      <c r="M218" s="17"/>
      <c r="N218" s="17"/>
      <c r="O218" s="17"/>
      <c r="R218" s="17"/>
      <c r="S218" s="17"/>
      <c r="T218" s="17"/>
    </row>
    <row r="219" customFormat="false" ht="15" hidden="false" customHeight="true" outlineLevel="0" collapsed="false">
      <c r="B219" s="17"/>
      <c r="E219" s="17"/>
      <c r="F219" s="17"/>
      <c r="G219" s="17"/>
      <c r="I219" s="17"/>
      <c r="M219" s="17"/>
      <c r="N219" s="17"/>
      <c r="O219" s="17"/>
      <c r="R219" s="17"/>
      <c r="S219" s="17"/>
      <c r="T219" s="17"/>
    </row>
    <row r="220" customFormat="false" ht="15" hidden="false" customHeight="true" outlineLevel="0" collapsed="false">
      <c r="B220" s="17"/>
      <c r="E220" s="17"/>
      <c r="F220" s="17"/>
      <c r="G220" s="17"/>
      <c r="I220" s="17"/>
      <c r="M220" s="17"/>
      <c r="N220" s="17"/>
      <c r="O220" s="17"/>
      <c r="R220" s="17"/>
      <c r="S220" s="17"/>
      <c r="T220" s="17"/>
    </row>
    <row r="221" customFormat="false" ht="15" hidden="false" customHeight="true" outlineLevel="0" collapsed="false">
      <c r="B221" s="17"/>
      <c r="E221" s="17"/>
      <c r="F221" s="17"/>
      <c r="G221" s="17"/>
      <c r="I221" s="17"/>
      <c r="M221" s="17"/>
      <c r="N221" s="17"/>
      <c r="O221" s="17"/>
      <c r="R221" s="17"/>
      <c r="S221" s="17"/>
      <c r="T221" s="17"/>
    </row>
    <row r="222" customFormat="false" ht="15" hidden="false" customHeight="true" outlineLevel="0" collapsed="false">
      <c r="B222" s="17"/>
      <c r="E222" s="17"/>
      <c r="F222" s="17"/>
      <c r="G222" s="17"/>
      <c r="I222" s="17"/>
      <c r="M222" s="17"/>
      <c r="N222" s="17"/>
      <c r="O222" s="17"/>
      <c r="R222" s="17"/>
      <c r="S222" s="17"/>
      <c r="T222" s="17"/>
    </row>
    <row r="223" customFormat="false" ht="15" hidden="false" customHeight="true" outlineLevel="0" collapsed="false">
      <c r="B223" s="17"/>
      <c r="E223" s="17"/>
      <c r="F223" s="17"/>
      <c r="G223" s="17"/>
      <c r="I223" s="17"/>
      <c r="M223" s="17"/>
      <c r="N223" s="17"/>
      <c r="O223" s="17"/>
      <c r="R223" s="17"/>
      <c r="S223" s="17"/>
      <c r="T223" s="17"/>
    </row>
    <row r="224" customFormat="false" ht="15" hidden="false" customHeight="true" outlineLevel="0" collapsed="false">
      <c r="B224" s="17"/>
      <c r="E224" s="17"/>
      <c r="F224" s="17"/>
      <c r="G224" s="17"/>
      <c r="I224" s="17"/>
      <c r="M224" s="17"/>
      <c r="N224" s="17"/>
      <c r="O224" s="17"/>
      <c r="R224" s="17"/>
      <c r="S224" s="17"/>
      <c r="T224" s="17"/>
    </row>
    <row r="225" customFormat="false" ht="15" hidden="false" customHeight="true" outlineLevel="0" collapsed="false">
      <c r="B225" s="17"/>
      <c r="E225" s="17"/>
      <c r="F225" s="17"/>
      <c r="G225" s="17"/>
      <c r="I225" s="17"/>
      <c r="M225" s="17"/>
      <c r="N225" s="17"/>
      <c r="O225" s="17"/>
      <c r="R225" s="17"/>
      <c r="S225" s="17"/>
      <c r="T225" s="17"/>
    </row>
    <row r="226" customFormat="false" ht="15" hidden="false" customHeight="true" outlineLevel="0" collapsed="false">
      <c r="B226" s="17"/>
      <c r="E226" s="17"/>
      <c r="F226" s="17"/>
      <c r="G226" s="17"/>
      <c r="I226" s="17"/>
      <c r="M226" s="17"/>
      <c r="N226" s="17"/>
      <c r="O226" s="17"/>
      <c r="R226" s="17"/>
      <c r="S226" s="17"/>
      <c r="T226" s="17"/>
    </row>
    <row r="227" customFormat="false" ht="15" hidden="false" customHeight="true" outlineLevel="0" collapsed="false">
      <c r="B227" s="17"/>
      <c r="E227" s="17"/>
      <c r="F227" s="17"/>
      <c r="G227" s="17"/>
      <c r="I227" s="17"/>
      <c r="M227" s="17"/>
      <c r="N227" s="17"/>
      <c r="O227" s="17"/>
      <c r="R227" s="17"/>
      <c r="S227" s="17"/>
      <c r="T227" s="17"/>
    </row>
    <row r="228" customFormat="false" ht="15" hidden="false" customHeight="true" outlineLevel="0" collapsed="false">
      <c r="B228" s="17"/>
      <c r="E228" s="17"/>
      <c r="F228" s="17"/>
      <c r="G228" s="17"/>
      <c r="I228" s="17"/>
      <c r="M228" s="17"/>
      <c r="N228" s="17"/>
      <c r="O228" s="17"/>
      <c r="R228" s="17"/>
      <c r="S228" s="17"/>
      <c r="T228" s="17"/>
    </row>
    <row r="229" customFormat="false" ht="15" hidden="false" customHeight="true" outlineLevel="0" collapsed="false">
      <c r="B229" s="17"/>
      <c r="E229" s="17"/>
      <c r="F229" s="17"/>
      <c r="G229" s="17"/>
      <c r="I229" s="17"/>
      <c r="M229" s="17"/>
      <c r="N229" s="17"/>
      <c r="O229" s="17"/>
      <c r="R229" s="17"/>
      <c r="S229" s="17"/>
      <c r="T229" s="17"/>
    </row>
    <row r="230" customFormat="false" ht="15" hidden="false" customHeight="true" outlineLevel="0" collapsed="false">
      <c r="B230" s="17"/>
      <c r="E230" s="17"/>
      <c r="F230" s="17"/>
      <c r="G230" s="17"/>
      <c r="I230" s="17"/>
      <c r="M230" s="17"/>
      <c r="N230" s="17"/>
      <c r="O230" s="17"/>
      <c r="R230" s="17"/>
      <c r="S230" s="17"/>
      <c r="T230" s="17"/>
    </row>
    <row r="231" customFormat="false" ht="15" hidden="false" customHeight="true" outlineLevel="0" collapsed="false">
      <c r="B231" s="17"/>
      <c r="E231" s="17"/>
      <c r="F231" s="17"/>
      <c r="G231" s="17"/>
      <c r="I231" s="17"/>
      <c r="M231" s="17"/>
      <c r="N231" s="17"/>
      <c r="O231" s="17"/>
      <c r="R231" s="17"/>
      <c r="S231" s="17"/>
      <c r="T231" s="17"/>
    </row>
    <row r="232" customFormat="false" ht="15" hidden="false" customHeight="true" outlineLevel="0" collapsed="false">
      <c r="B232" s="17"/>
      <c r="E232" s="17"/>
      <c r="F232" s="17"/>
      <c r="G232" s="17"/>
      <c r="I232" s="17"/>
      <c r="M232" s="17"/>
      <c r="N232" s="17"/>
      <c r="O232" s="17"/>
      <c r="R232" s="17"/>
      <c r="S232" s="17"/>
      <c r="T232" s="17"/>
    </row>
    <row r="233" customFormat="false" ht="15" hidden="false" customHeight="true" outlineLevel="0" collapsed="false">
      <c r="B233" s="17"/>
      <c r="E233" s="17"/>
      <c r="F233" s="17"/>
      <c r="G233" s="17"/>
      <c r="I233" s="17"/>
      <c r="M233" s="17"/>
      <c r="N233" s="17"/>
      <c r="O233" s="17"/>
      <c r="R233" s="17"/>
      <c r="S233" s="17"/>
      <c r="T233" s="17"/>
    </row>
    <row r="234" customFormat="false" ht="15" hidden="false" customHeight="true" outlineLevel="0" collapsed="false">
      <c r="B234" s="17"/>
      <c r="E234" s="17"/>
      <c r="F234" s="17"/>
      <c r="G234" s="17"/>
      <c r="I234" s="17"/>
      <c r="M234" s="17"/>
      <c r="N234" s="17"/>
      <c r="O234" s="17"/>
      <c r="R234" s="17"/>
      <c r="S234" s="17"/>
      <c r="T234" s="17"/>
    </row>
    <row r="235" customFormat="false" ht="15" hidden="false" customHeight="true" outlineLevel="0" collapsed="false">
      <c r="B235" s="17"/>
      <c r="E235" s="17"/>
      <c r="F235" s="17"/>
      <c r="G235" s="17"/>
      <c r="I235" s="17"/>
      <c r="M235" s="17"/>
      <c r="N235" s="17"/>
      <c r="O235" s="17"/>
      <c r="R235" s="17"/>
      <c r="S235" s="17"/>
      <c r="T235" s="17"/>
    </row>
    <row r="236" customFormat="false" ht="15" hidden="false" customHeight="true" outlineLevel="0" collapsed="false">
      <c r="B236" s="17"/>
      <c r="E236" s="17"/>
      <c r="F236" s="17"/>
      <c r="G236" s="17"/>
      <c r="I236" s="17"/>
      <c r="M236" s="17"/>
      <c r="N236" s="17"/>
      <c r="O236" s="17"/>
      <c r="R236" s="17"/>
      <c r="S236" s="17"/>
      <c r="T236" s="17"/>
    </row>
    <row r="237" customFormat="false" ht="15" hidden="false" customHeight="true" outlineLevel="0" collapsed="false">
      <c r="B237" s="17"/>
      <c r="E237" s="17"/>
      <c r="F237" s="17"/>
      <c r="G237" s="17"/>
      <c r="I237" s="17"/>
      <c r="M237" s="17"/>
      <c r="N237" s="17"/>
      <c r="O237" s="17"/>
      <c r="R237" s="17"/>
      <c r="S237" s="17"/>
      <c r="T237" s="17"/>
    </row>
    <row r="238" customFormat="false" ht="15" hidden="false" customHeight="true" outlineLevel="0" collapsed="false">
      <c r="B238" s="17"/>
      <c r="E238" s="17"/>
      <c r="F238" s="17"/>
      <c r="G238" s="17"/>
      <c r="I238" s="17"/>
      <c r="M238" s="17"/>
      <c r="N238" s="17"/>
      <c r="O238" s="17"/>
      <c r="R238" s="17"/>
      <c r="S238" s="17"/>
      <c r="T238" s="17"/>
    </row>
    <row r="239" customFormat="false" ht="15" hidden="false" customHeight="true" outlineLevel="0" collapsed="false">
      <c r="B239" s="17"/>
      <c r="E239" s="17"/>
      <c r="F239" s="17"/>
      <c r="G239" s="17"/>
      <c r="I239" s="17"/>
      <c r="M239" s="17"/>
      <c r="N239" s="17"/>
      <c r="O239" s="17"/>
      <c r="R239" s="17"/>
      <c r="S239" s="17"/>
      <c r="T239" s="17"/>
    </row>
    <row r="240" customFormat="false" ht="15" hidden="false" customHeight="true" outlineLevel="0" collapsed="false">
      <c r="B240" s="17"/>
      <c r="E240" s="17"/>
      <c r="F240" s="17"/>
      <c r="G240" s="17"/>
      <c r="I240" s="17"/>
      <c r="M240" s="17"/>
      <c r="N240" s="17"/>
      <c r="O240" s="17"/>
      <c r="R240" s="17"/>
      <c r="S240" s="17"/>
      <c r="T240" s="17"/>
    </row>
    <row r="241" customFormat="false" ht="15" hidden="false" customHeight="true" outlineLevel="0" collapsed="false">
      <c r="B241" s="17"/>
      <c r="E241" s="17"/>
      <c r="F241" s="17"/>
      <c r="G241" s="17"/>
      <c r="I241" s="17"/>
      <c r="M241" s="17"/>
      <c r="N241" s="17"/>
      <c r="O241" s="17"/>
      <c r="R241" s="17"/>
      <c r="S241" s="17"/>
      <c r="T241" s="17"/>
    </row>
    <row r="242" customFormat="false" ht="15" hidden="false" customHeight="true" outlineLevel="0" collapsed="false">
      <c r="B242" s="17"/>
      <c r="E242" s="17"/>
      <c r="F242" s="17"/>
      <c r="G242" s="17"/>
      <c r="I242" s="17"/>
      <c r="M242" s="17"/>
      <c r="N242" s="17"/>
      <c r="O242" s="17"/>
      <c r="R242" s="17"/>
      <c r="S242" s="17"/>
      <c r="T242" s="17"/>
    </row>
    <row r="243" customFormat="false" ht="15" hidden="false" customHeight="true" outlineLevel="0" collapsed="false">
      <c r="B243" s="17"/>
      <c r="E243" s="17"/>
      <c r="F243" s="17"/>
      <c r="G243" s="17"/>
      <c r="I243" s="17"/>
      <c r="M243" s="17"/>
      <c r="N243" s="17"/>
      <c r="O243" s="17"/>
      <c r="R243" s="17"/>
      <c r="S243" s="17"/>
      <c r="T243" s="17"/>
    </row>
    <row r="244" customFormat="false" ht="15" hidden="false" customHeight="true" outlineLevel="0" collapsed="false">
      <c r="B244" s="17"/>
      <c r="E244" s="17"/>
      <c r="F244" s="17"/>
      <c r="G244" s="17"/>
      <c r="I244" s="17"/>
      <c r="M244" s="17"/>
      <c r="N244" s="17"/>
      <c r="O244" s="17"/>
      <c r="R244" s="17"/>
      <c r="S244" s="17"/>
      <c r="T244" s="17"/>
    </row>
    <row r="245" customFormat="false" ht="15" hidden="false" customHeight="true" outlineLevel="0" collapsed="false">
      <c r="B245" s="17"/>
      <c r="E245" s="17"/>
      <c r="F245" s="17"/>
      <c r="G245" s="17"/>
      <c r="I245" s="17"/>
      <c r="M245" s="17"/>
      <c r="N245" s="17"/>
      <c r="O245" s="17"/>
      <c r="R245" s="17"/>
      <c r="S245" s="17"/>
      <c r="T245" s="17"/>
    </row>
    <row r="246" customFormat="false" ht="15" hidden="false" customHeight="true" outlineLevel="0" collapsed="false">
      <c r="B246" s="17"/>
      <c r="E246" s="17"/>
      <c r="F246" s="17"/>
      <c r="G246" s="17"/>
      <c r="I246" s="17"/>
      <c r="M246" s="17"/>
      <c r="N246" s="17"/>
      <c r="O246" s="17"/>
      <c r="R246" s="17"/>
      <c r="S246" s="17"/>
      <c r="T246" s="17"/>
    </row>
    <row r="247" customFormat="false" ht="15" hidden="false" customHeight="true" outlineLevel="0" collapsed="false">
      <c r="B247" s="17"/>
      <c r="E247" s="17"/>
      <c r="F247" s="17"/>
      <c r="G247" s="17"/>
      <c r="I247" s="17"/>
      <c r="M247" s="17"/>
      <c r="N247" s="17"/>
      <c r="O247" s="17"/>
      <c r="R247" s="17"/>
      <c r="S247" s="17"/>
      <c r="T247" s="17"/>
    </row>
    <row r="248" customFormat="false" ht="15" hidden="false" customHeight="true" outlineLevel="0" collapsed="false">
      <c r="B248" s="17"/>
      <c r="E248" s="17"/>
      <c r="F248" s="17"/>
      <c r="G248" s="17"/>
      <c r="I248" s="17"/>
      <c r="M248" s="17"/>
      <c r="N248" s="17"/>
      <c r="O248" s="17"/>
      <c r="R248" s="17"/>
      <c r="S248" s="17"/>
      <c r="T248" s="17"/>
    </row>
    <row r="249" customFormat="false" ht="15" hidden="false" customHeight="true" outlineLevel="0" collapsed="false">
      <c r="B249" s="17"/>
      <c r="E249" s="17"/>
      <c r="F249" s="17"/>
      <c r="G249" s="17"/>
      <c r="I249" s="17"/>
      <c r="M249" s="17"/>
      <c r="N249" s="17"/>
      <c r="O249" s="17"/>
      <c r="R249" s="17"/>
      <c r="S249" s="17"/>
      <c r="T249" s="17"/>
    </row>
    <row r="250" customFormat="false" ht="15" hidden="false" customHeight="true" outlineLevel="0" collapsed="false">
      <c r="B250" s="17"/>
      <c r="E250" s="17"/>
      <c r="F250" s="17"/>
      <c r="G250" s="17"/>
      <c r="I250" s="17"/>
      <c r="M250" s="17"/>
      <c r="N250" s="17"/>
      <c r="O250" s="17"/>
      <c r="R250" s="17"/>
      <c r="S250" s="17"/>
      <c r="T250" s="17"/>
    </row>
    <row r="251" customFormat="false" ht="15" hidden="false" customHeight="true" outlineLevel="0" collapsed="false">
      <c r="B251" s="17"/>
      <c r="E251" s="17"/>
      <c r="F251" s="17"/>
      <c r="G251" s="17"/>
      <c r="I251" s="17"/>
      <c r="M251" s="17"/>
      <c r="N251" s="17"/>
      <c r="O251" s="17"/>
      <c r="R251" s="17"/>
      <c r="S251" s="17"/>
      <c r="T251" s="17"/>
    </row>
    <row r="252" customFormat="false" ht="15" hidden="false" customHeight="true" outlineLevel="0" collapsed="false">
      <c r="B252" s="17"/>
      <c r="E252" s="17"/>
      <c r="F252" s="17"/>
      <c r="G252" s="17"/>
      <c r="I252" s="17"/>
      <c r="M252" s="17"/>
      <c r="N252" s="17"/>
      <c r="O252" s="17"/>
      <c r="R252" s="17"/>
      <c r="S252" s="17"/>
      <c r="T252" s="17"/>
    </row>
    <row r="253" customFormat="false" ht="15" hidden="false" customHeight="true" outlineLevel="0" collapsed="false">
      <c r="B253" s="17"/>
      <c r="E253" s="17"/>
      <c r="F253" s="17"/>
      <c r="G253" s="17"/>
      <c r="I253" s="17"/>
      <c r="M253" s="17"/>
      <c r="N253" s="17"/>
      <c r="O253" s="17"/>
      <c r="R253" s="17"/>
      <c r="S253" s="17"/>
      <c r="T253" s="17"/>
    </row>
    <row r="254" customFormat="false" ht="15" hidden="false" customHeight="true" outlineLevel="0" collapsed="false">
      <c r="B254" s="17"/>
      <c r="E254" s="17"/>
      <c r="F254" s="17"/>
      <c r="G254" s="17"/>
      <c r="I254" s="17"/>
      <c r="M254" s="17"/>
      <c r="N254" s="17"/>
      <c r="O254" s="17"/>
      <c r="R254" s="17"/>
      <c r="S254" s="17"/>
      <c r="T254" s="17"/>
    </row>
    <row r="255" customFormat="false" ht="15" hidden="false" customHeight="true" outlineLevel="0" collapsed="false">
      <c r="B255" s="17"/>
      <c r="E255" s="17"/>
      <c r="F255" s="17"/>
      <c r="G255" s="17"/>
      <c r="I255" s="17"/>
      <c r="M255" s="17"/>
      <c r="N255" s="17"/>
      <c r="O255" s="17"/>
      <c r="R255" s="17"/>
      <c r="S255" s="17"/>
      <c r="T255" s="17"/>
    </row>
    <row r="256" customFormat="false" ht="15" hidden="false" customHeight="true" outlineLevel="0" collapsed="false">
      <c r="B256" s="17"/>
      <c r="E256" s="17"/>
      <c r="F256" s="17"/>
      <c r="G256" s="17"/>
      <c r="I256" s="17"/>
      <c r="M256" s="17"/>
      <c r="N256" s="17"/>
      <c r="O256" s="17"/>
      <c r="R256" s="17"/>
      <c r="S256" s="17"/>
      <c r="T256" s="17"/>
    </row>
    <row r="257" customFormat="false" ht="15" hidden="false" customHeight="true" outlineLevel="0" collapsed="false">
      <c r="B257" s="17"/>
      <c r="E257" s="17"/>
      <c r="F257" s="17"/>
      <c r="G257" s="17"/>
      <c r="I257" s="17"/>
      <c r="M257" s="17"/>
      <c r="N257" s="17"/>
      <c r="O257" s="17"/>
      <c r="R257" s="17"/>
      <c r="S257" s="17"/>
      <c r="T257" s="17"/>
    </row>
    <row r="258" customFormat="false" ht="15" hidden="false" customHeight="true" outlineLevel="0" collapsed="false">
      <c r="B258" s="17"/>
      <c r="E258" s="17"/>
      <c r="F258" s="17"/>
      <c r="G258" s="17"/>
      <c r="I258" s="17"/>
      <c r="M258" s="17"/>
      <c r="N258" s="17"/>
      <c r="O258" s="17"/>
      <c r="R258" s="17"/>
      <c r="S258" s="17"/>
      <c r="T258" s="17"/>
    </row>
    <row r="259" customFormat="false" ht="15" hidden="false" customHeight="true" outlineLevel="0" collapsed="false">
      <c r="B259" s="17"/>
      <c r="E259" s="17"/>
      <c r="F259" s="17"/>
      <c r="G259" s="17"/>
      <c r="I259" s="17"/>
      <c r="M259" s="17"/>
      <c r="N259" s="17"/>
      <c r="O259" s="17"/>
      <c r="R259" s="17"/>
      <c r="S259" s="17"/>
      <c r="T259" s="17"/>
    </row>
    <row r="260" customFormat="false" ht="15" hidden="false" customHeight="true" outlineLevel="0" collapsed="false">
      <c r="B260" s="17"/>
      <c r="E260" s="17"/>
      <c r="F260" s="17"/>
      <c r="G260" s="17"/>
      <c r="I260" s="17"/>
      <c r="M260" s="17"/>
      <c r="N260" s="17"/>
      <c r="O260" s="17"/>
      <c r="R260" s="17"/>
      <c r="S260" s="17"/>
      <c r="T260" s="17"/>
    </row>
    <row r="261" customFormat="false" ht="15" hidden="false" customHeight="true" outlineLevel="0" collapsed="false">
      <c r="B261" s="17"/>
      <c r="E261" s="17"/>
      <c r="F261" s="17"/>
      <c r="G261" s="17"/>
      <c r="I261" s="17"/>
      <c r="M261" s="17"/>
      <c r="N261" s="17"/>
      <c r="O261" s="17"/>
      <c r="R261" s="17"/>
      <c r="S261" s="17"/>
      <c r="T261" s="17"/>
    </row>
    <row r="262" customFormat="false" ht="15" hidden="false" customHeight="true" outlineLevel="0" collapsed="false">
      <c r="B262" s="17"/>
      <c r="E262" s="17"/>
      <c r="F262" s="17"/>
      <c r="G262" s="17"/>
      <c r="I262" s="17"/>
      <c r="M262" s="17"/>
      <c r="N262" s="17"/>
      <c r="O262" s="17"/>
      <c r="R262" s="17"/>
      <c r="S262" s="17"/>
      <c r="T262" s="17"/>
    </row>
    <row r="263" customFormat="false" ht="15" hidden="false" customHeight="true" outlineLevel="0" collapsed="false">
      <c r="B263" s="17"/>
      <c r="E263" s="17"/>
      <c r="F263" s="17"/>
      <c r="G263" s="17"/>
      <c r="I263" s="17"/>
      <c r="M263" s="17"/>
      <c r="N263" s="17"/>
      <c r="O263" s="17"/>
      <c r="R263" s="17"/>
      <c r="S263" s="17"/>
      <c r="T263" s="17"/>
    </row>
    <row r="264" customFormat="false" ht="15" hidden="false" customHeight="true" outlineLevel="0" collapsed="false">
      <c r="B264" s="17"/>
      <c r="E264" s="17"/>
      <c r="F264" s="17"/>
      <c r="G264" s="17"/>
      <c r="I264" s="17"/>
      <c r="M264" s="17"/>
      <c r="N264" s="17"/>
      <c r="O264" s="17"/>
      <c r="R264" s="17"/>
      <c r="S264" s="17"/>
      <c r="T264" s="17"/>
    </row>
    <row r="265" customFormat="false" ht="15" hidden="false" customHeight="true" outlineLevel="0" collapsed="false">
      <c r="B265" s="17"/>
      <c r="E265" s="17"/>
      <c r="F265" s="17"/>
      <c r="G265" s="17"/>
      <c r="I265" s="17"/>
      <c r="M265" s="17"/>
      <c r="N265" s="17"/>
      <c r="O265" s="17"/>
      <c r="R265" s="17"/>
      <c r="S265" s="17"/>
      <c r="T265" s="17"/>
    </row>
    <row r="266" customFormat="false" ht="15" hidden="false" customHeight="true" outlineLevel="0" collapsed="false">
      <c r="B266" s="17"/>
      <c r="E266" s="17"/>
      <c r="F266" s="17"/>
      <c r="G266" s="17"/>
      <c r="I266" s="17"/>
      <c r="M266" s="17"/>
      <c r="N266" s="17"/>
      <c r="O266" s="17"/>
      <c r="R266" s="17"/>
      <c r="S266" s="17"/>
      <c r="T266" s="17"/>
    </row>
    <row r="267" customFormat="false" ht="15" hidden="false" customHeight="true" outlineLevel="0" collapsed="false">
      <c r="B267" s="17"/>
      <c r="E267" s="17"/>
      <c r="F267" s="17"/>
      <c r="G267" s="17"/>
      <c r="I267" s="17"/>
      <c r="M267" s="17"/>
      <c r="N267" s="17"/>
      <c r="O267" s="17"/>
      <c r="R267" s="17"/>
      <c r="S267" s="17"/>
      <c r="T267" s="17"/>
    </row>
    <row r="268" customFormat="false" ht="15" hidden="false" customHeight="true" outlineLevel="0" collapsed="false">
      <c r="B268" s="17"/>
      <c r="E268" s="17"/>
      <c r="F268" s="17"/>
      <c r="G268" s="17"/>
      <c r="I268" s="17"/>
      <c r="M268" s="17"/>
      <c r="N268" s="17"/>
      <c r="O268" s="17"/>
      <c r="R268" s="17"/>
      <c r="S268" s="17"/>
      <c r="T268" s="17"/>
    </row>
    <row r="269" customFormat="false" ht="15" hidden="false" customHeight="true" outlineLevel="0" collapsed="false">
      <c r="B269" s="17"/>
      <c r="E269" s="17"/>
      <c r="F269" s="17"/>
      <c r="G269" s="17"/>
      <c r="I269" s="17"/>
      <c r="M269" s="17"/>
      <c r="N269" s="17"/>
      <c r="O269" s="17"/>
      <c r="R269" s="17"/>
      <c r="S269" s="17"/>
      <c r="T269" s="17"/>
    </row>
    <row r="270" customFormat="false" ht="15" hidden="false" customHeight="true" outlineLevel="0" collapsed="false">
      <c r="B270" s="17"/>
      <c r="E270" s="17"/>
      <c r="F270" s="17"/>
      <c r="G270" s="17"/>
      <c r="I270" s="17"/>
      <c r="M270" s="17"/>
      <c r="N270" s="17"/>
      <c r="O270" s="17"/>
      <c r="R270" s="17"/>
      <c r="S270" s="17"/>
      <c r="T270" s="17"/>
    </row>
    <row r="271" customFormat="false" ht="15" hidden="false" customHeight="true" outlineLevel="0" collapsed="false">
      <c r="B271" s="17"/>
      <c r="E271" s="17"/>
      <c r="F271" s="17"/>
      <c r="G271" s="17"/>
      <c r="I271" s="17"/>
      <c r="M271" s="17"/>
      <c r="N271" s="17"/>
      <c r="O271" s="17"/>
      <c r="R271" s="17"/>
      <c r="S271" s="17"/>
      <c r="T271" s="17"/>
    </row>
    <row r="272" customFormat="false" ht="15" hidden="false" customHeight="true" outlineLevel="0" collapsed="false">
      <c r="B272" s="17"/>
      <c r="E272" s="17"/>
      <c r="F272" s="17"/>
      <c r="G272" s="17"/>
      <c r="I272" s="17"/>
      <c r="M272" s="17"/>
      <c r="N272" s="17"/>
      <c r="O272" s="17"/>
      <c r="R272" s="17"/>
      <c r="S272" s="17"/>
      <c r="T272" s="17"/>
    </row>
    <row r="273" customFormat="false" ht="15" hidden="false" customHeight="true" outlineLevel="0" collapsed="false">
      <c r="B273" s="17"/>
      <c r="E273" s="17"/>
      <c r="F273" s="17"/>
      <c r="G273" s="17"/>
      <c r="I273" s="17"/>
      <c r="M273" s="17"/>
      <c r="N273" s="17"/>
      <c r="O273" s="17"/>
      <c r="R273" s="17"/>
      <c r="S273" s="17"/>
      <c r="T273" s="17"/>
    </row>
    <row r="274" customFormat="false" ht="15" hidden="false" customHeight="true" outlineLevel="0" collapsed="false">
      <c r="B274" s="17"/>
      <c r="E274" s="17"/>
      <c r="F274" s="17"/>
      <c r="G274" s="17"/>
      <c r="I274" s="17"/>
      <c r="M274" s="17"/>
      <c r="N274" s="17"/>
      <c r="O274" s="17"/>
      <c r="R274" s="17"/>
      <c r="S274" s="17"/>
      <c r="T274" s="17"/>
    </row>
    <row r="275" customFormat="false" ht="15" hidden="false" customHeight="true" outlineLevel="0" collapsed="false">
      <c r="B275" s="17"/>
      <c r="E275" s="17"/>
      <c r="F275" s="17"/>
      <c r="G275" s="17"/>
      <c r="I275" s="17"/>
      <c r="M275" s="17"/>
      <c r="N275" s="17"/>
      <c r="O275" s="17"/>
      <c r="R275" s="17"/>
      <c r="S275" s="17"/>
      <c r="T275" s="17"/>
    </row>
    <row r="276" customFormat="false" ht="15" hidden="false" customHeight="true" outlineLevel="0" collapsed="false">
      <c r="B276" s="17"/>
      <c r="E276" s="17"/>
      <c r="F276" s="17"/>
      <c r="G276" s="17"/>
      <c r="I276" s="17"/>
      <c r="M276" s="17"/>
      <c r="N276" s="17"/>
      <c r="O276" s="17"/>
      <c r="R276" s="17"/>
      <c r="S276" s="17"/>
      <c r="T276" s="17"/>
    </row>
    <row r="277" customFormat="false" ht="15" hidden="false" customHeight="true" outlineLevel="0" collapsed="false">
      <c r="B277" s="17"/>
      <c r="E277" s="17"/>
      <c r="F277" s="17"/>
      <c r="G277" s="17"/>
      <c r="I277" s="17"/>
      <c r="M277" s="17"/>
      <c r="N277" s="17"/>
      <c r="O277" s="17"/>
      <c r="R277" s="17"/>
      <c r="S277" s="17"/>
      <c r="T277" s="17"/>
    </row>
    <row r="278" customFormat="false" ht="15" hidden="false" customHeight="true" outlineLevel="0" collapsed="false">
      <c r="B278" s="17"/>
      <c r="E278" s="17"/>
      <c r="F278" s="17"/>
      <c r="G278" s="17"/>
      <c r="I278" s="17"/>
      <c r="M278" s="17"/>
      <c r="N278" s="17"/>
      <c r="O278" s="17"/>
      <c r="R278" s="17"/>
      <c r="S278" s="17"/>
      <c r="T278" s="17"/>
    </row>
    <row r="279" customFormat="false" ht="15" hidden="false" customHeight="true" outlineLevel="0" collapsed="false">
      <c r="B279" s="17"/>
      <c r="E279" s="17"/>
      <c r="F279" s="17"/>
      <c r="G279" s="17"/>
      <c r="I279" s="17"/>
      <c r="M279" s="17"/>
      <c r="N279" s="17"/>
      <c r="O279" s="17"/>
      <c r="R279" s="17"/>
      <c r="S279" s="17"/>
      <c r="T279" s="17"/>
    </row>
    <row r="280" customFormat="false" ht="15" hidden="false" customHeight="true" outlineLevel="0" collapsed="false">
      <c r="B280" s="17"/>
      <c r="E280" s="17"/>
      <c r="F280" s="17"/>
      <c r="G280" s="17"/>
      <c r="I280" s="17"/>
      <c r="M280" s="17"/>
      <c r="N280" s="17"/>
      <c r="O280" s="17"/>
      <c r="R280" s="17"/>
      <c r="S280" s="17"/>
      <c r="T280" s="17"/>
    </row>
    <row r="281" customFormat="false" ht="15" hidden="false" customHeight="true" outlineLevel="0" collapsed="false">
      <c r="B281" s="17"/>
      <c r="E281" s="17"/>
      <c r="F281" s="17"/>
      <c r="G281" s="17"/>
      <c r="I281" s="17"/>
      <c r="M281" s="17"/>
      <c r="N281" s="17"/>
      <c r="O281" s="17"/>
      <c r="R281" s="17"/>
      <c r="S281" s="17"/>
      <c r="T281" s="17"/>
    </row>
    <row r="282" customFormat="false" ht="15" hidden="false" customHeight="true" outlineLevel="0" collapsed="false">
      <c r="B282" s="17"/>
      <c r="E282" s="17"/>
      <c r="F282" s="17"/>
      <c r="G282" s="17"/>
      <c r="I282" s="17"/>
      <c r="M282" s="17"/>
      <c r="N282" s="17"/>
      <c r="O282" s="17"/>
      <c r="R282" s="17"/>
      <c r="S282" s="17"/>
      <c r="T282" s="17"/>
    </row>
    <row r="283" customFormat="false" ht="15" hidden="false" customHeight="true" outlineLevel="0" collapsed="false">
      <c r="B283" s="17"/>
      <c r="E283" s="17"/>
      <c r="F283" s="17"/>
      <c r="G283" s="17"/>
      <c r="I283" s="17"/>
      <c r="M283" s="17"/>
      <c r="N283" s="17"/>
      <c r="O283" s="17"/>
      <c r="R283" s="17"/>
      <c r="S283" s="17"/>
      <c r="T283" s="17"/>
    </row>
    <row r="284" customFormat="false" ht="15" hidden="false" customHeight="true" outlineLevel="0" collapsed="false">
      <c r="B284" s="17"/>
      <c r="E284" s="17"/>
      <c r="F284" s="17"/>
      <c r="G284" s="17"/>
      <c r="I284" s="17"/>
      <c r="M284" s="17"/>
      <c r="N284" s="17"/>
      <c r="O284" s="17"/>
      <c r="R284" s="17"/>
      <c r="S284" s="17"/>
      <c r="T284" s="17"/>
    </row>
    <row r="285" customFormat="false" ht="15" hidden="false" customHeight="true" outlineLevel="0" collapsed="false">
      <c r="B285" s="17"/>
      <c r="E285" s="17"/>
      <c r="F285" s="17"/>
      <c r="G285" s="17"/>
      <c r="I285" s="17"/>
      <c r="M285" s="17"/>
      <c r="N285" s="17"/>
      <c r="O285" s="17"/>
      <c r="R285" s="17"/>
      <c r="S285" s="17"/>
      <c r="T285" s="17"/>
    </row>
    <row r="286" customFormat="false" ht="15" hidden="false" customHeight="true" outlineLevel="0" collapsed="false">
      <c r="B286" s="17"/>
      <c r="E286" s="17"/>
      <c r="F286" s="17"/>
      <c r="G286" s="17"/>
      <c r="I286" s="17"/>
      <c r="M286" s="17"/>
      <c r="N286" s="17"/>
      <c r="O286" s="17"/>
      <c r="R286" s="17"/>
      <c r="S286" s="17"/>
      <c r="T286" s="17"/>
    </row>
    <row r="287" customFormat="false" ht="15" hidden="false" customHeight="true" outlineLevel="0" collapsed="false">
      <c r="B287" s="17"/>
      <c r="E287" s="17"/>
      <c r="F287" s="17"/>
      <c r="G287" s="17"/>
      <c r="I287" s="17"/>
      <c r="M287" s="17"/>
      <c r="N287" s="17"/>
      <c r="O287" s="17"/>
      <c r="R287" s="17"/>
      <c r="S287" s="17"/>
      <c r="T287" s="17"/>
    </row>
    <row r="288" customFormat="false" ht="15" hidden="false" customHeight="true" outlineLevel="0" collapsed="false">
      <c r="B288" s="17"/>
      <c r="E288" s="17"/>
      <c r="F288" s="17"/>
      <c r="G288" s="17"/>
      <c r="I288" s="17"/>
      <c r="M288" s="17"/>
      <c r="N288" s="17"/>
      <c r="O288" s="17"/>
      <c r="R288" s="17"/>
      <c r="S288" s="17"/>
      <c r="T288" s="17"/>
    </row>
    <row r="289" customFormat="false" ht="15" hidden="false" customHeight="true" outlineLevel="0" collapsed="false">
      <c r="B289" s="17"/>
      <c r="E289" s="17"/>
      <c r="F289" s="17"/>
      <c r="G289" s="17"/>
      <c r="I289" s="17"/>
      <c r="M289" s="17"/>
      <c r="N289" s="17"/>
      <c r="O289" s="17"/>
      <c r="R289" s="17"/>
      <c r="S289" s="17"/>
      <c r="T289" s="17"/>
    </row>
    <row r="290" customFormat="false" ht="15" hidden="false" customHeight="true" outlineLevel="0" collapsed="false">
      <c r="B290" s="17"/>
      <c r="E290" s="17"/>
      <c r="F290" s="17"/>
      <c r="G290" s="17"/>
      <c r="I290" s="17"/>
      <c r="M290" s="17"/>
      <c r="N290" s="17"/>
      <c r="O290" s="17"/>
      <c r="R290" s="17"/>
      <c r="S290" s="17"/>
      <c r="T290" s="17"/>
    </row>
    <row r="291" customFormat="false" ht="15" hidden="false" customHeight="true" outlineLevel="0" collapsed="false">
      <c r="B291" s="17"/>
      <c r="E291" s="17"/>
      <c r="F291" s="17"/>
      <c r="G291" s="17"/>
      <c r="I291" s="17"/>
      <c r="M291" s="17"/>
      <c r="N291" s="17"/>
      <c r="O291" s="17"/>
      <c r="R291" s="17"/>
      <c r="S291" s="17"/>
      <c r="T291" s="17"/>
    </row>
    <row r="292" customFormat="false" ht="15" hidden="false" customHeight="true" outlineLevel="0" collapsed="false">
      <c r="B292" s="17"/>
      <c r="E292" s="17"/>
      <c r="F292" s="17"/>
      <c r="G292" s="17"/>
      <c r="I292" s="17"/>
      <c r="M292" s="17"/>
      <c r="N292" s="17"/>
      <c r="O292" s="17"/>
      <c r="R292" s="17"/>
      <c r="S292" s="17"/>
      <c r="T292" s="17"/>
    </row>
    <row r="293" customFormat="false" ht="15" hidden="false" customHeight="true" outlineLevel="0" collapsed="false">
      <c r="B293" s="17"/>
      <c r="E293" s="17"/>
      <c r="F293" s="17"/>
      <c r="G293" s="17"/>
      <c r="I293" s="17"/>
      <c r="M293" s="17"/>
      <c r="N293" s="17"/>
      <c r="O293" s="17"/>
      <c r="R293" s="17"/>
      <c r="S293" s="17"/>
      <c r="T293" s="17"/>
    </row>
    <row r="294" customFormat="false" ht="15" hidden="false" customHeight="true" outlineLevel="0" collapsed="false">
      <c r="B294" s="17"/>
      <c r="E294" s="17"/>
      <c r="F294" s="17"/>
      <c r="G294" s="17"/>
      <c r="I294" s="17"/>
      <c r="M294" s="17"/>
      <c r="N294" s="17"/>
      <c r="O294" s="17"/>
      <c r="R294" s="17"/>
      <c r="S294" s="17"/>
      <c r="T294" s="17"/>
    </row>
    <row r="295" customFormat="false" ht="15" hidden="false" customHeight="true" outlineLevel="0" collapsed="false">
      <c r="B295" s="17"/>
      <c r="E295" s="17"/>
      <c r="F295" s="17"/>
      <c r="G295" s="17"/>
      <c r="I295" s="17"/>
      <c r="M295" s="17"/>
      <c r="N295" s="17"/>
      <c r="O295" s="17"/>
      <c r="R295" s="17"/>
      <c r="S295" s="17"/>
      <c r="T295" s="17"/>
    </row>
    <row r="296" customFormat="false" ht="15" hidden="false" customHeight="true" outlineLevel="0" collapsed="false">
      <c r="B296" s="17"/>
      <c r="E296" s="17"/>
      <c r="F296" s="17"/>
      <c r="G296" s="17"/>
      <c r="I296" s="17"/>
      <c r="M296" s="17"/>
      <c r="N296" s="17"/>
      <c r="O296" s="17"/>
      <c r="R296" s="17"/>
      <c r="S296" s="17"/>
      <c r="T296" s="17"/>
    </row>
    <row r="297" customFormat="false" ht="15" hidden="false" customHeight="true" outlineLevel="0" collapsed="false">
      <c r="B297" s="17"/>
      <c r="E297" s="17"/>
      <c r="F297" s="17"/>
      <c r="G297" s="17"/>
      <c r="I297" s="17"/>
      <c r="M297" s="17"/>
      <c r="N297" s="17"/>
      <c r="O297" s="17"/>
      <c r="R297" s="17"/>
      <c r="S297" s="17"/>
      <c r="T297" s="17"/>
    </row>
    <row r="298" customFormat="false" ht="15" hidden="false" customHeight="true" outlineLevel="0" collapsed="false">
      <c r="B298" s="17"/>
      <c r="E298" s="17"/>
      <c r="F298" s="17"/>
      <c r="G298" s="17"/>
      <c r="I298" s="17"/>
      <c r="M298" s="17"/>
      <c r="N298" s="17"/>
      <c r="O298" s="17"/>
      <c r="R298" s="17"/>
      <c r="S298" s="17"/>
      <c r="T298" s="17"/>
    </row>
    <row r="299" customFormat="false" ht="15" hidden="false" customHeight="true" outlineLevel="0" collapsed="false">
      <c r="B299" s="17"/>
      <c r="E299" s="17"/>
      <c r="F299" s="17"/>
      <c r="G299" s="17"/>
      <c r="I299" s="17"/>
      <c r="M299" s="17"/>
      <c r="N299" s="17"/>
      <c r="O299" s="17"/>
      <c r="R299" s="17"/>
      <c r="S299" s="17"/>
      <c r="T299" s="17"/>
    </row>
    <row r="300" customFormat="false" ht="15" hidden="false" customHeight="true" outlineLevel="0" collapsed="false">
      <c r="B300" s="17"/>
      <c r="E300" s="17"/>
      <c r="F300" s="17"/>
      <c r="G300" s="17"/>
      <c r="I300" s="17"/>
      <c r="M300" s="17"/>
      <c r="N300" s="17"/>
      <c r="O300" s="17"/>
      <c r="R300" s="17"/>
      <c r="S300" s="17"/>
      <c r="T300" s="17"/>
    </row>
    <row r="301" customFormat="false" ht="15" hidden="false" customHeight="true" outlineLevel="0" collapsed="false">
      <c r="B301" s="17"/>
      <c r="E301" s="17"/>
      <c r="F301" s="17"/>
      <c r="G301" s="17"/>
      <c r="I301" s="17"/>
      <c r="M301" s="17"/>
      <c r="N301" s="17"/>
      <c r="O301" s="17"/>
      <c r="R301" s="17"/>
      <c r="S301" s="17"/>
      <c r="T301" s="17"/>
    </row>
    <row r="302" customFormat="false" ht="15" hidden="false" customHeight="true" outlineLevel="0" collapsed="false">
      <c r="B302" s="17"/>
      <c r="E302" s="17"/>
      <c r="F302" s="17"/>
      <c r="G302" s="17"/>
      <c r="I302" s="17"/>
      <c r="M302" s="17"/>
      <c r="N302" s="17"/>
      <c r="O302" s="17"/>
      <c r="R302" s="17"/>
      <c r="S302" s="17"/>
      <c r="T302" s="17"/>
    </row>
    <row r="303" customFormat="false" ht="15" hidden="false" customHeight="true" outlineLevel="0" collapsed="false">
      <c r="B303" s="17"/>
      <c r="E303" s="17"/>
      <c r="F303" s="17"/>
      <c r="G303" s="17"/>
      <c r="I303" s="17"/>
      <c r="M303" s="17"/>
      <c r="N303" s="17"/>
      <c r="O303" s="17"/>
      <c r="R303" s="17"/>
      <c r="S303" s="17"/>
      <c r="T303" s="17"/>
    </row>
    <row r="304" customFormat="false" ht="15" hidden="false" customHeight="true" outlineLevel="0" collapsed="false">
      <c r="B304" s="17"/>
      <c r="E304" s="17"/>
      <c r="F304" s="17"/>
      <c r="G304" s="17"/>
      <c r="I304" s="17"/>
      <c r="M304" s="17"/>
      <c r="N304" s="17"/>
      <c r="O304" s="17"/>
      <c r="R304" s="17"/>
      <c r="S304" s="17"/>
      <c r="T304" s="17"/>
    </row>
    <row r="305" customFormat="false" ht="15" hidden="false" customHeight="true" outlineLevel="0" collapsed="false">
      <c r="B305" s="17"/>
      <c r="E305" s="17"/>
      <c r="F305" s="17"/>
      <c r="G305" s="17"/>
      <c r="I305" s="17"/>
      <c r="M305" s="17"/>
      <c r="N305" s="17"/>
      <c r="O305" s="17"/>
      <c r="R305" s="17"/>
      <c r="S305" s="17"/>
      <c r="T305" s="17"/>
    </row>
    <row r="306" customFormat="false" ht="15" hidden="false" customHeight="true" outlineLevel="0" collapsed="false">
      <c r="B306" s="17"/>
      <c r="E306" s="17"/>
      <c r="F306" s="17"/>
      <c r="G306" s="17"/>
      <c r="I306" s="17"/>
      <c r="M306" s="17"/>
      <c r="N306" s="17"/>
      <c r="O306" s="17"/>
      <c r="R306" s="17"/>
      <c r="S306" s="17"/>
      <c r="T306" s="17"/>
    </row>
    <row r="307" customFormat="false" ht="15" hidden="false" customHeight="true" outlineLevel="0" collapsed="false">
      <c r="B307" s="17"/>
      <c r="E307" s="17"/>
      <c r="F307" s="17"/>
      <c r="G307" s="17"/>
      <c r="I307" s="17"/>
      <c r="M307" s="17"/>
      <c r="N307" s="17"/>
      <c r="O307" s="17"/>
      <c r="R307" s="17"/>
      <c r="S307" s="17"/>
      <c r="T307" s="17"/>
    </row>
    <row r="308" customFormat="false" ht="15" hidden="false" customHeight="true" outlineLevel="0" collapsed="false">
      <c r="B308" s="17"/>
      <c r="E308" s="17"/>
      <c r="F308" s="17"/>
      <c r="G308" s="17"/>
      <c r="I308" s="17"/>
      <c r="M308" s="17"/>
      <c r="N308" s="17"/>
      <c r="O308" s="17"/>
      <c r="R308" s="17"/>
      <c r="S308" s="17"/>
      <c r="T308" s="17"/>
    </row>
    <row r="309" customFormat="false" ht="15" hidden="false" customHeight="true" outlineLevel="0" collapsed="false">
      <c r="B309" s="17"/>
      <c r="E309" s="17"/>
      <c r="F309" s="17"/>
      <c r="G309" s="17"/>
      <c r="I309" s="17"/>
      <c r="M309" s="17"/>
      <c r="N309" s="17"/>
      <c r="O309" s="17"/>
      <c r="R309" s="17"/>
      <c r="S309" s="17"/>
      <c r="T309" s="17"/>
    </row>
    <row r="310" customFormat="false" ht="15" hidden="false" customHeight="true" outlineLevel="0" collapsed="false">
      <c r="B310" s="17"/>
      <c r="E310" s="17"/>
      <c r="F310" s="17"/>
      <c r="G310" s="17"/>
      <c r="I310" s="17"/>
      <c r="M310" s="17"/>
      <c r="N310" s="17"/>
      <c r="O310" s="17"/>
      <c r="R310" s="17"/>
      <c r="S310" s="17"/>
      <c r="T310" s="17"/>
    </row>
    <row r="311" customFormat="false" ht="15" hidden="false" customHeight="true" outlineLevel="0" collapsed="false">
      <c r="B311" s="17"/>
      <c r="E311" s="17"/>
      <c r="F311" s="17"/>
      <c r="G311" s="17"/>
      <c r="I311" s="17"/>
      <c r="M311" s="17"/>
      <c r="N311" s="17"/>
      <c r="O311" s="17"/>
      <c r="R311" s="17"/>
      <c r="S311" s="17"/>
      <c r="T311" s="17"/>
    </row>
    <row r="312" customFormat="false" ht="15" hidden="false" customHeight="true" outlineLevel="0" collapsed="false">
      <c r="B312" s="17"/>
      <c r="E312" s="17"/>
      <c r="F312" s="17"/>
      <c r="G312" s="17"/>
      <c r="I312" s="17"/>
      <c r="M312" s="17"/>
      <c r="N312" s="17"/>
      <c r="O312" s="17"/>
      <c r="R312" s="17"/>
      <c r="S312" s="17"/>
      <c r="T312" s="17"/>
    </row>
    <row r="313" customFormat="false" ht="15" hidden="false" customHeight="true" outlineLevel="0" collapsed="false">
      <c r="B313" s="17"/>
      <c r="E313" s="17"/>
      <c r="F313" s="17"/>
      <c r="G313" s="17"/>
      <c r="I313" s="17"/>
      <c r="M313" s="17"/>
      <c r="N313" s="17"/>
      <c r="O313" s="17"/>
      <c r="R313" s="17"/>
      <c r="S313" s="17"/>
      <c r="T313" s="17"/>
    </row>
    <row r="314" customFormat="false" ht="15" hidden="false" customHeight="true" outlineLevel="0" collapsed="false">
      <c r="B314" s="17"/>
      <c r="E314" s="17"/>
      <c r="F314" s="17"/>
      <c r="G314" s="17"/>
      <c r="I314" s="17"/>
      <c r="M314" s="17"/>
      <c r="N314" s="17"/>
      <c r="O314" s="17"/>
      <c r="R314" s="17"/>
      <c r="S314" s="17"/>
      <c r="T314" s="17"/>
    </row>
    <row r="315" customFormat="false" ht="15" hidden="false" customHeight="true" outlineLevel="0" collapsed="false">
      <c r="B315" s="17"/>
      <c r="E315" s="17"/>
      <c r="F315" s="17"/>
      <c r="G315" s="17"/>
      <c r="I315" s="17"/>
      <c r="M315" s="17"/>
      <c r="N315" s="17"/>
      <c r="O315" s="17"/>
      <c r="R315" s="17"/>
      <c r="S315" s="17"/>
      <c r="T315" s="17"/>
    </row>
    <row r="316" customFormat="false" ht="15" hidden="false" customHeight="true" outlineLevel="0" collapsed="false">
      <c r="B316" s="17"/>
      <c r="E316" s="17"/>
      <c r="F316" s="17"/>
      <c r="G316" s="17"/>
      <c r="I316" s="17"/>
      <c r="M316" s="17"/>
      <c r="N316" s="17"/>
      <c r="O316" s="17"/>
      <c r="R316" s="17"/>
      <c r="S316" s="17"/>
      <c r="T316" s="17"/>
    </row>
    <row r="317" customFormat="false" ht="15" hidden="false" customHeight="true" outlineLevel="0" collapsed="false">
      <c r="B317" s="17"/>
      <c r="E317" s="17"/>
      <c r="F317" s="17"/>
      <c r="G317" s="17"/>
      <c r="I317" s="17"/>
      <c r="M317" s="17"/>
      <c r="N317" s="17"/>
      <c r="O317" s="17"/>
      <c r="R317" s="17"/>
      <c r="S317" s="17"/>
      <c r="T317" s="17"/>
    </row>
    <row r="318" customFormat="false" ht="15" hidden="false" customHeight="true" outlineLevel="0" collapsed="false">
      <c r="B318" s="17"/>
      <c r="E318" s="17"/>
      <c r="F318" s="17"/>
      <c r="G318" s="17"/>
      <c r="I318" s="17"/>
      <c r="M318" s="17"/>
      <c r="N318" s="17"/>
      <c r="O318" s="17"/>
      <c r="R318" s="17"/>
      <c r="S318" s="17"/>
      <c r="T318" s="17"/>
    </row>
    <row r="319" customFormat="false" ht="15" hidden="false" customHeight="true" outlineLevel="0" collapsed="false">
      <c r="B319" s="17"/>
      <c r="E319" s="17"/>
      <c r="F319" s="17"/>
      <c r="G319" s="17"/>
      <c r="I319" s="17"/>
      <c r="M319" s="17"/>
      <c r="N319" s="17"/>
      <c r="O319" s="17"/>
      <c r="R319" s="17"/>
      <c r="S319" s="17"/>
      <c r="T319" s="17"/>
    </row>
    <row r="320" customFormat="false" ht="15" hidden="false" customHeight="true" outlineLevel="0" collapsed="false">
      <c r="B320" s="17"/>
      <c r="E320" s="17"/>
      <c r="F320" s="17"/>
      <c r="G320" s="17"/>
      <c r="I320" s="17"/>
      <c r="M320" s="17"/>
      <c r="N320" s="17"/>
      <c r="O320" s="17"/>
      <c r="R320" s="17"/>
      <c r="S320" s="17"/>
      <c r="T320" s="17"/>
    </row>
    <row r="321" customFormat="false" ht="15" hidden="false" customHeight="true" outlineLevel="0" collapsed="false">
      <c r="B321" s="17"/>
      <c r="E321" s="17"/>
      <c r="F321" s="17"/>
      <c r="G321" s="17"/>
      <c r="I321" s="17"/>
      <c r="M321" s="17"/>
      <c r="N321" s="17"/>
      <c r="O321" s="17"/>
      <c r="R321" s="17"/>
      <c r="S321" s="17"/>
      <c r="T321" s="17"/>
    </row>
    <row r="322" customFormat="false" ht="15" hidden="false" customHeight="true" outlineLevel="0" collapsed="false">
      <c r="B322" s="17"/>
      <c r="E322" s="17"/>
      <c r="F322" s="17"/>
      <c r="G322" s="17"/>
      <c r="I322" s="17"/>
      <c r="M322" s="17"/>
      <c r="N322" s="17"/>
      <c r="O322" s="17"/>
      <c r="R322" s="17"/>
      <c r="S322" s="17"/>
      <c r="T322" s="17"/>
    </row>
    <row r="323" customFormat="false" ht="15" hidden="false" customHeight="true" outlineLevel="0" collapsed="false">
      <c r="B323" s="17"/>
      <c r="E323" s="17"/>
      <c r="F323" s="17"/>
      <c r="G323" s="17"/>
      <c r="I323" s="17"/>
      <c r="M323" s="17"/>
      <c r="N323" s="17"/>
      <c r="O323" s="17"/>
      <c r="R323" s="17"/>
      <c r="S323" s="17"/>
      <c r="T323" s="17"/>
    </row>
    <row r="324" customFormat="false" ht="15" hidden="false" customHeight="true" outlineLevel="0" collapsed="false">
      <c r="B324" s="17"/>
      <c r="E324" s="17"/>
      <c r="F324" s="17"/>
      <c r="G324" s="17"/>
      <c r="I324" s="17"/>
      <c r="M324" s="17"/>
      <c r="N324" s="17"/>
      <c r="O324" s="17"/>
      <c r="R324" s="17"/>
      <c r="S324" s="17"/>
      <c r="T324" s="17"/>
    </row>
    <row r="325" customFormat="false" ht="15" hidden="false" customHeight="true" outlineLevel="0" collapsed="false">
      <c r="B325" s="17"/>
      <c r="E325" s="17"/>
      <c r="F325" s="17"/>
      <c r="G325" s="17"/>
      <c r="I325" s="17"/>
      <c r="M325" s="17"/>
      <c r="N325" s="17"/>
      <c r="O325" s="17"/>
      <c r="R325" s="17"/>
      <c r="S325" s="17"/>
      <c r="T325" s="17"/>
    </row>
    <row r="326" customFormat="false" ht="15" hidden="false" customHeight="true" outlineLevel="0" collapsed="false">
      <c r="B326" s="17"/>
      <c r="E326" s="17"/>
      <c r="F326" s="17"/>
      <c r="G326" s="17"/>
      <c r="I326" s="17"/>
      <c r="M326" s="17"/>
      <c r="N326" s="17"/>
      <c r="O326" s="17"/>
      <c r="R326" s="17"/>
      <c r="S326" s="17"/>
      <c r="T326" s="17"/>
    </row>
    <row r="327" customFormat="false" ht="15" hidden="false" customHeight="true" outlineLevel="0" collapsed="false">
      <c r="B327" s="17"/>
      <c r="E327" s="17"/>
      <c r="F327" s="17"/>
      <c r="G327" s="17"/>
      <c r="I327" s="17"/>
      <c r="M327" s="17"/>
      <c r="N327" s="17"/>
      <c r="O327" s="17"/>
      <c r="R327" s="17"/>
      <c r="S327" s="17"/>
      <c r="T327" s="17"/>
    </row>
    <row r="328" customFormat="false" ht="15" hidden="false" customHeight="true" outlineLevel="0" collapsed="false">
      <c r="B328" s="17"/>
      <c r="E328" s="17"/>
      <c r="F328" s="17"/>
      <c r="G328" s="17"/>
      <c r="I328" s="17"/>
      <c r="M328" s="17"/>
      <c r="N328" s="17"/>
      <c r="O328" s="17"/>
      <c r="R328" s="17"/>
      <c r="S328" s="17"/>
      <c r="T328" s="17"/>
    </row>
    <row r="329" customFormat="false" ht="15" hidden="false" customHeight="true" outlineLevel="0" collapsed="false">
      <c r="B329" s="17"/>
      <c r="E329" s="17"/>
      <c r="F329" s="17"/>
      <c r="G329" s="17"/>
      <c r="I329" s="17"/>
      <c r="M329" s="17"/>
      <c r="N329" s="17"/>
      <c r="O329" s="17"/>
      <c r="R329" s="17"/>
      <c r="S329" s="17"/>
      <c r="T329" s="17"/>
    </row>
    <row r="330" customFormat="false" ht="15" hidden="false" customHeight="true" outlineLevel="0" collapsed="false">
      <c r="B330" s="17"/>
      <c r="E330" s="17"/>
      <c r="F330" s="17"/>
      <c r="G330" s="17"/>
      <c r="I330" s="17"/>
      <c r="M330" s="17"/>
      <c r="N330" s="17"/>
      <c r="O330" s="17"/>
      <c r="R330" s="17"/>
      <c r="S330" s="17"/>
      <c r="T330" s="17"/>
    </row>
    <row r="331" customFormat="false" ht="15" hidden="false" customHeight="true" outlineLevel="0" collapsed="false">
      <c r="B331" s="17"/>
      <c r="E331" s="17"/>
      <c r="F331" s="17"/>
      <c r="G331" s="17"/>
      <c r="I331" s="17"/>
      <c r="M331" s="17"/>
      <c r="N331" s="17"/>
      <c r="O331" s="17"/>
      <c r="R331" s="17"/>
      <c r="S331" s="17"/>
      <c r="T331" s="17"/>
    </row>
    <row r="332" customFormat="false" ht="15" hidden="false" customHeight="true" outlineLevel="0" collapsed="false">
      <c r="B332" s="17"/>
      <c r="E332" s="17"/>
      <c r="F332" s="17"/>
      <c r="G332" s="17"/>
      <c r="I332" s="17"/>
      <c r="M332" s="17"/>
      <c r="N332" s="17"/>
      <c r="O332" s="17"/>
      <c r="R332" s="17"/>
      <c r="S332" s="17"/>
      <c r="T332" s="17"/>
    </row>
    <row r="333" customFormat="false" ht="15" hidden="false" customHeight="true" outlineLevel="0" collapsed="false">
      <c r="B333" s="17"/>
      <c r="E333" s="17"/>
      <c r="F333" s="17"/>
      <c r="G333" s="17"/>
      <c r="I333" s="17"/>
      <c r="M333" s="17"/>
      <c r="N333" s="17"/>
      <c r="O333" s="17"/>
      <c r="R333" s="17"/>
      <c r="S333" s="17"/>
      <c r="T333" s="17"/>
    </row>
    <row r="334" customFormat="false" ht="15" hidden="false" customHeight="true" outlineLevel="0" collapsed="false">
      <c r="B334" s="17"/>
      <c r="E334" s="17"/>
      <c r="F334" s="17"/>
      <c r="G334" s="17"/>
      <c r="I334" s="17"/>
      <c r="M334" s="17"/>
      <c r="N334" s="17"/>
      <c r="O334" s="17"/>
      <c r="R334" s="17"/>
      <c r="S334" s="17"/>
      <c r="T334" s="17"/>
    </row>
    <row r="335" customFormat="false" ht="15" hidden="false" customHeight="true" outlineLevel="0" collapsed="false">
      <c r="B335" s="17"/>
      <c r="E335" s="17"/>
      <c r="F335" s="17"/>
      <c r="G335" s="17"/>
      <c r="I335" s="17"/>
      <c r="M335" s="17"/>
      <c r="N335" s="17"/>
      <c r="O335" s="17"/>
      <c r="R335" s="17"/>
      <c r="S335" s="17"/>
      <c r="T335" s="17"/>
    </row>
    <row r="336" customFormat="false" ht="15" hidden="false" customHeight="true" outlineLevel="0" collapsed="false">
      <c r="B336" s="17"/>
      <c r="E336" s="17"/>
      <c r="F336" s="17"/>
      <c r="G336" s="17"/>
      <c r="I336" s="17"/>
      <c r="M336" s="17"/>
      <c r="N336" s="17"/>
      <c r="O336" s="17"/>
      <c r="R336" s="17"/>
      <c r="S336" s="17"/>
      <c r="T336" s="17"/>
    </row>
    <row r="337" customFormat="false" ht="15" hidden="false" customHeight="true" outlineLevel="0" collapsed="false">
      <c r="B337" s="17"/>
      <c r="E337" s="17"/>
      <c r="F337" s="17"/>
      <c r="G337" s="17"/>
      <c r="I337" s="17"/>
      <c r="M337" s="17"/>
      <c r="N337" s="17"/>
      <c r="O337" s="17"/>
      <c r="R337" s="17"/>
      <c r="S337" s="17"/>
      <c r="T337" s="17"/>
    </row>
    <row r="338" customFormat="false" ht="15" hidden="false" customHeight="true" outlineLevel="0" collapsed="false">
      <c r="B338" s="17"/>
      <c r="E338" s="17"/>
      <c r="F338" s="17"/>
      <c r="G338" s="17"/>
      <c r="I338" s="17"/>
      <c r="M338" s="17"/>
      <c r="N338" s="17"/>
      <c r="O338" s="17"/>
      <c r="R338" s="17"/>
      <c r="S338" s="17"/>
      <c r="T338" s="17"/>
    </row>
    <row r="339" customFormat="false" ht="15" hidden="false" customHeight="true" outlineLevel="0" collapsed="false">
      <c r="B339" s="17"/>
      <c r="E339" s="17"/>
      <c r="F339" s="17"/>
      <c r="G339" s="17"/>
      <c r="I339" s="17"/>
      <c r="M339" s="17"/>
      <c r="N339" s="17"/>
      <c r="O339" s="17"/>
      <c r="R339" s="17"/>
      <c r="S339" s="17"/>
      <c r="T339" s="17"/>
    </row>
    <row r="340" customFormat="false" ht="15" hidden="false" customHeight="true" outlineLevel="0" collapsed="false">
      <c r="B340" s="17"/>
      <c r="E340" s="17"/>
      <c r="F340" s="17"/>
      <c r="G340" s="17"/>
      <c r="I340" s="17"/>
      <c r="M340" s="17"/>
      <c r="N340" s="17"/>
      <c r="O340" s="17"/>
      <c r="R340" s="17"/>
      <c r="S340" s="17"/>
      <c r="T340" s="17"/>
    </row>
    <row r="341" customFormat="false" ht="15" hidden="false" customHeight="true" outlineLevel="0" collapsed="false">
      <c r="B341" s="17"/>
      <c r="E341" s="17"/>
      <c r="F341" s="17"/>
      <c r="G341" s="17"/>
      <c r="I341" s="17"/>
      <c r="M341" s="17"/>
      <c r="N341" s="17"/>
      <c r="O341" s="17"/>
      <c r="R341" s="17"/>
      <c r="S341" s="17"/>
      <c r="T341" s="17"/>
    </row>
    <row r="342" customFormat="false" ht="15" hidden="false" customHeight="true" outlineLevel="0" collapsed="false">
      <c r="B342" s="17"/>
      <c r="E342" s="17"/>
      <c r="F342" s="17"/>
      <c r="G342" s="17"/>
      <c r="I342" s="17"/>
      <c r="M342" s="17"/>
      <c r="N342" s="17"/>
      <c r="O342" s="17"/>
      <c r="R342" s="17"/>
      <c r="S342" s="17"/>
      <c r="T342" s="17"/>
    </row>
    <row r="343" customFormat="false" ht="15" hidden="false" customHeight="true" outlineLevel="0" collapsed="false">
      <c r="B343" s="17"/>
      <c r="E343" s="17"/>
      <c r="F343" s="17"/>
      <c r="G343" s="17"/>
      <c r="I343" s="17"/>
      <c r="M343" s="17"/>
      <c r="N343" s="17"/>
      <c r="O343" s="17"/>
      <c r="R343" s="17"/>
      <c r="S343" s="17"/>
      <c r="T343" s="17"/>
    </row>
    <row r="344" customFormat="false" ht="15" hidden="false" customHeight="true" outlineLevel="0" collapsed="false">
      <c r="B344" s="17"/>
      <c r="E344" s="17"/>
      <c r="F344" s="17"/>
      <c r="G344" s="17"/>
      <c r="I344" s="17"/>
      <c r="M344" s="17"/>
      <c r="N344" s="17"/>
      <c r="O344" s="17"/>
      <c r="R344" s="17"/>
      <c r="S344" s="17"/>
      <c r="T344" s="17"/>
    </row>
    <row r="345" customFormat="false" ht="15" hidden="false" customHeight="true" outlineLevel="0" collapsed="false">
      <c r="B345" s="17"/>
      <c r="E345" s="17"/>
      <c r="F345" s="17"/>
      <c r="G345" s="17"/>
      <c r="I345" s="17"/>
      <c r="M345" s="17"/>
      <c r="N345" s="17"/>
      <c r="O345" s="17"/>
      <c r="R345" s="17"/>
      <c r="S345" s="17"/>
      <c r="T345" s="17"/>
    </row>
    <row r="346" customFormat="false" ht="15" hidden="false" customHeight="true" outlineLevel="0" collapsed="false">
      <c r="B346" s="17"/>
      <c r="E346" s="17"/>
      <c r="F346" s="17"/>
      <c r="G346" s="17"/>
      <c r="I346" s="17"/>
      <c r="M346" s="17"/>
      <c r="N346" s="17"/>
      <c r="O346" s="17"/>
      <c r="R346" s="17"/>
      <c r="S346" s="17"/>
      <c r="T346" s="17"/>
    </row>
    <row r="347" customFormat="false" ht="15" hidden="false" customHeight="true" outlineLevel="0" collapsed="false">
      <c r="B347" s="17"/>
      <c r="E347" s="17"/>
      <c r="F347" s="17"/>
      <c r="G347" s="17"/>
      <c r="I347" s="17"/>
      <c r="M347" s="17"/>
      <c r="N347" s="17"/>
      <c r="O347" s="17"/>
      <c r="R347" s="17"/>
      <c r="S347" s="17"/>
      <c r="T347" s="17"/>
    </row>
    <row r="348" customFormat="false" ht="15" hidden="false" customHeight="true" outlineLevel="0" collapsed="false">
      <c r="B348" s="17"/>
      <c r="E348" s="17"/>
      <c r="F348" s="17"/>
      <c r="G348" s="17"/>
      <c r="I348" s="17"/>
      <c r="M348" s="17"/>
      <c r="N348" s="17"/>
      <c r="O348" s="17"/>
      <c r="R348" s="17"/>
      <c r="S348" s="17"/>
      <c r="T348" s="17"/>
    </row>
    <row r="349" customFormat="false" ht="15" hidden="false" customHeight="true" outlineLevel="0" collapsed="false">
      <c r="B349" s="17"/>
      <c r="E349" s="17"/>
      <c r="F349" s="17"/>
      <c r="G349" s="17"/>
      <c r="I349" s="17"/>
      <c r="M349" s="17"/>
      <c r="N349" s="17"/>
      <c r="O349" s="17"/>
      <c r="R349" s="17"/>
      <c r="S349" s="17"/>
      <c r="T349" s="17"/>
    </row>
    <row r="350" customFormat="false" ht="15" hidden="false" customHeight="true" outlineLevel="0" collapsed="false">
      <c r="B350" s="17"/>
      <c r="E350" s="17"/>
      <c r="F350" s="17"/>
      <c r="G350" s="17"/>
      <c r="I350" s="17"/>
      <c r="M350" s="17"/>
      <c r="N350" s="17"/>
      <c r="O350" s="17"/>
      <c r="R350" s="17"/>
      <c r="S350" s="17"/>
      <c r="T350" s="17"/>
    </row>
    <row r="351" customFormat="false" ht="15" hidden="false" customHeight="true" outlineLevel="0" collapsed="false">
      <c r="B351" s="17"/>
      <c r="E351" s="17"/>
      <c r="F351" s="17"/>
      <c r="G351" s="17"/>
      <c r="I351" s="17"/>
      <c r="M351" s="17"/>
      <c r="N351" s="17"/>
      <c r="O351" s="17"/>
      <c r="R351" s="17"/>
      <c r="S351" s="17"/>
      <c r="T351" s="17"/>
    </row>
    <row r="352" customFormat="false" ht="15" hidden="false" customHeight="true" outlineLevel="0" collapsed="false">
      <c r="B352" s="17"/>
      <c r="E352" s="17"/>
      <c r="F352" s="17"/>
      <c r="G352" s="17"/>
      <c r="I352" s="17"/>
      <c r="M352" s="17"/>
      <c r="N352" s="17"/>
      <c r="O352" s="17"/>
      <c r="R352" s="17"/>
      <c r="S352" s="17"/>
      <c r="T352" s="17"/>
    </row>
    <row r="353" customFormat="false" ht="15" hidden="false" customHeight="true" outlineLevel="0" collapsed="false">
      <c r="B353" s="17"/>
      <c r="E353" s="17"/>
      <c r="F353" s="17"/>
      <c r="G353" s="17"/>
      <c r="I353" s="17"/>
      <c r="M353" s="17"/>
      <c r="N353" s="17"/>
      <c r="O353" s="17"/>
      <c r="R353" s="17"/>
      <c r="S353" s="17"/>
      <c r="T353" s="17"/>
    </row>
    <row r="354" customFormat="false" ht="15" hidden="false" customHeight="true" outlineLevel="0" collapsed="false">
      <c r="B354" s="17"/>
      <c r="E354" s="17"/>
      <c r="F354" s="17"/>
      <c r="G354" s="17"/>
      <c r="I354" s="17"/>
      <c r="M354" s="17"/>
      <c r="N354" s="17"/>
      <c r="O354" s="17"/>
      <c r="R354" s="17"/>
      <c r="S354" s="17"/>
      <c r="T354" s="17"/>
    </row>
    <row r="355" customFormat="false" ht="15" hidden="false" customHeight="true" outlineLevel="0" collapsed="false">
      <c r="B355" s="17"/>
      <c r="E355" s="17"/>
      <c r="F355" s="17"/>
      <c r="G355" s="17"/>
      <c r="I355" s="17"/>
      <c r="M355" s="17"/>
      <c r="N355" s="17"/>
      <c r="O355" s="17"/>
      <c r="R355" s="17"/>
      <c r="S355" s="17"/>
      <c r="T355" s="17"/>
    </row>
    <row r="356" customFormat="false" ht="15" hidden="false" customHeight="true" outlineLevel="0" collapsed="false">
      <c r="B356" s="17"/>
      <c r="E356" s="17"/>
      <c r="F356" s="17"/>
      <c r="G356" s="17"/>
      <c r="I356" s="17"/>
      <c r="M356" s="17"/>
      <c r="N356" s="17"/>
      <c r="O356" s="17"/>
      <c r="R356" s="17"/>
      <c r="S356" s="17"/>
      <c r="T356" s="17"/>
    </row>
    <row r="357" customFormat="false" ht="15" hidden="false" customHeight="true" outlineLevel="0" collapsed="false">
      <c r="B357" s="17"/>
      <c r="E357" s="17"/>
      <c r="F357" s="17"/>
      <c r="G357" s="17"/>
      <c r="I357" s="17"/>
      <c r="M357" s="17"/>
      <c r="N357" s="17"/>
      <c r="O357" s="17"/>
      <c r="R357" s="17"/>
      <c r="S357" s="17"/>
      <c r="T357" s="17"/>
    </row>
    <row r="358" customFormat="false" ht="15" hidden="false" customHeight="true" outlineLevel="0" collapsed="false">
      <c r="B358" s="17"/>
      <c r="E358" s="17"/>
      <c r="F358" s="17"/>
      <c r="G358" s="17"/>
      <c r="I358" s="17"/>
      <c r="M358" s="17"/>
      <c r="N358" s="17"/>
      <c r="O358" s="17"/>
      <c r="R358" s="17"/>
      <c r="S358" s="17"/>
      <c r="T358" s="17"/>
    </row>
    <row r="359" customFormat="false" ht="15" hidden="false" customHeight="true" outlineLevel="0" collapsed="false">
      <c r="B359" s="17"/>
      <c r="E359" s="17"/>
      <c r="F359" s="17"/>
      <c r="G359" s="17"/>
      <c r="I359" s="17"/>
      <c r="M359" s="17"/>
      <c r="N359" s="17"/>
      <c r="O359" s="17"/>
      <c r="R359" s="17"/>
      <c r="S359" s="17"/>
      <c r="T359" s="17"/>
    </row>
    <row r="360" customFormat="false" ht="15" hidden="false" customHeight="true" outlineLevel="0" collapsed="false">
      <c r="B360" s="17"/>
      <c r="E360" s="17"/>
      <c r="F360" s="17"/>
      <c r="G360" s="17"/>
      <c r="I360" s="17"/>
      <c r="M360" s="17"/>
      <c r="N360" s="17"/>
      <c r="O360" s="17"/>
      <c r="R360" s="17"/>
      <c r="S360" s="17"/>
      <c r="T360" s="17"/>
    </row>
    <row r="361" customFormat="false" ht="15" hidden="false" customHeight="true" outlineLevel="0" collapsed="false">
      <c r="B361" s="17"/>
      <c r="E361" s="17"/>
      <c r="F361" s="17"/>
      <c r="G361" s="17"/>
      <c r="I361" s="17"/>
      <c r="M361" s="17"/>
      <c r="N361" s="17"/>
      <c r="O361" s="17"/>
      <c r="R361" s="17"/>
      <c r="S361" s="17"/>
      <c r="T361" s="17"/>
    </row>
    <row r="362" customFormat="false" ht="15" hidden="false" customHeight="true" outlineLevel="0" collapsed="false">
      <c r="B362" s="17"/>
      <c r="E362" s="17"/>
      <c r="F362" s="17"/>
      <c r="G362" s="17"/>
      <c r="I362" s="17"/>
      <c r="M362" s="17"/>
      <c r="N362" s="17"/>
      <c r="O362" s="17"/>
      <c r="R362" s="17"/>
      <c r="S362" s="17"/>
      <c r="T362" s="17"/>
    </row>
    <row r="363" customFormat="false" ht="15" hidden="false" customHeight="true" outlineLevel="0" collapsed="false">
      <c r="B363" s="17"/>
      <c r="E363" s="17"/>
      <c r="F363" s="17"/>
      <c r="G363" s="17"/>
      <c r="I363" s="17"/>
      <c r="M363" s="17"/>
      <c r="N363" s="17"/>
      <c r="O363" s="17"/>
      <c r="R363" s="17"/>
      <c r="S363" s="17"/>
      <c r="T363" s="17"/>
    </row>
    <row r="364" customFormat="false" ht="15" hidden="false" customHeight="true" outlineLevel="0" collapsed="false">
      <c r="B364" s="17"/>
      <c r="E364" s="17"/>
      <c r="F364" s="17"/>
      <c r="G364" s="17"/>
      <c r="I364" s="17"/>
      <c r="M364" s="17"/>
      <c r="N364" s="17"/>
      <c r="O364" s="17"/>
      <c r="R364" s="17"/>
      <c r="S364" s="17"/>
      <c r="T364" s="17"/>
    </row>
    <row r="365" customFormat="false" ht="15" hidden="false" customHeight="true" outlineLevel="0" collapsed="false">
      <c r="B365" s="17"/>
      <c r="E365" s="17"/>
      <c r="F365" s="17"/>
      <c r="G365" s="17"/>
      <c r="I365" s="17"/>
      <c r="M365" s="17"/>
      <c r="N365" s="17"/>
      <c r="O365" s="17"/>
      <c r="R365" s="17"/>
      <c r="S365" s="17"/>
      <c r="T365" s="17"/>
    </row>
    <row r="366" customFormat="false" ht="15" hidden="false" customHeight="true" outlineLevel="0" collapsed="false">
      <c r="B366" s="17"/>
      <c r="E366" s="17"/>
      <c r="F366" s="17"/>
      <c r="G366" s="17"/>
      <c r="I366" s="17"/>
      <c r="M366" s="17"/>
      <c r="N366" s="17"/>
      <c r="O366" s="17"/>
      <c r="R366" s="17"/>
      <c r="S366" s="17"/>
      <c r="T366" s="17"/>
    </row>
    <row r="367" customFormat="false" ht="15" hidden="false" customHeight="true" outlineLevel="0" collapsed="false">
      <c r="B367" s="17"/>
      <c r="E367" s="17"/>
      <c r="F367" s="17"/>
      <c r="G367" s="17"/>
      <c r="I367" s="17"/>
      <c r="M367" s="17"/>
      <c r="N367" s="17"/>
      <c r="O367" s="17"/>
      <c r="R367" s="17"/>
      <c r="S367" s="17"/>
      <c r="T367" s="17"/>
    </row>
    <row r="368" customFormat="false" ht="15" hidden="false" customHeight="true" outlineLevel="0" collapsed="false">
      <c r="B368" s="17"/>
      <c r="E368" s="17"/>
      <c r="F368" s="17"/>
      <c r="G368" s="17"/>
      <c r="I368" s="17"/>
      <c r="M368" s="17"/>
      <c r="N368" s="17"/>
      <c r="O368" s="17"/>
      <c r="R368" s="17"/>
      <c r="S368" s="17"/>
      <c r="T368" s="17"/>
    </row>
    <row r="369" customFormat="false" ht="15" hidden="false" customHeight="true" outlineLevel="0" collapsed="false">
      <c r="B369" s="17"/>
      <c r="E369" s="17"/>
      <c r="F369" s="17"/>
      <c r="G369" s="17"/>
      <c r="I369" s="17"/>
      <c r="M369" s="17"/>
      <c r="N369" s="17"/>
      <c r="O369" s="17"/>
      <c r="R369" s="17"/>
      <c r="S369" s="17"/>
      <c r="T369" s="17"/>
    </row>
    <row r="370" customFormat="false" ht="15" hidden="false" customHeight="true" outlineLevel="0" collapsed="false">
      <c r="B370" s="17"/>
      <c r="E370" s="17"/>
      <c r="F370" s="17"/>
      <c r="G370" s="17"/>
      <c r="I370" s="17"/>
      <c r="M370" s="17"/>
      <c r="N370" s="17"/>
      <c r="O370" s="17"/>
      <c r="R370" s="17"/>
      <c r="S370" s="17"/>
      <c r="T370" s="17"/>
    </row>
    <row r="371" customFormat="false" ht="15" hidden="false" customHeight="true" outlineLevel="0" collapsed="false">
      <c r="B371" s="17"/>
      <c r="E371" s="17"/>
      <c r="F371" s="17"/>
      <c r="G371" s="17"/>
      <c r="I371" s="17"/>
      <c r="M371" s="17"/>
      <c r="N371" s="17"/>
      <c r="O371" s="17"/>
      <c r="R371" s="17"/>
      <c r="S371" s="17"/>
      <c r="T371" s="17"/>
    </row>
    <row r="372" customFormat="false" ht="15" hidden="false" customHeight="true" outlineLevel="0" collapsed="false">
      <c r="B372" s="17"/>
      <c r="E372" s="17"/>
      <c r="F372" s="17"/>
      <c r="G372" s="17"/>
      <c r="I372" s="17"/>
      <c r="M372" s="17"/>
      <c r="N372" s="17"/>
      <c r="O372" s="17"/>
      <c r="R372" s="17"/>
      <c r="S372" s="17"/>
      <c r="T372" s="17"/>
    </row>
    <row r="373" customFormat="false" ht="15" hidden="false" customHeight="true" outlineLevel="0" collapsed="false">
      <c r="B373" s="17"/>
      <c r="E373" s="17"/>
      <c r="F373" s="17"/>
      <c r="G373" s="17"/>
      <c r="I373" s="17"/>
      <c r="M373" s="17"/>
      <c r="N373" s="17"/>
      <c r="O373" s="17"/>
      <c r="R373" s="17"/>
      <c r="S373" s="17"/>
      <c r="T373" s="17"/>
    </row>
    <row r="374" customFormat="false" ht="15" hidden="false" customHeight="true" outlineLevel="0" collapsed="false">
      <c r="B374" s="17"/>
      <c r="E374" s="17"/>
      <c r="F374" s="17"/>
      <c r="G374" s="17"/>
      <c r="I374" s="17"/>
      <c r="M374" s="17"/>
      <c r="N374" s="17"/>
      <c r="O374" s="17"/>
      <c r="R374" s="17"/>
      <c r="S374" s="17"/>
      <c r="T374" s="17"/>
    </row>
    <row r="375" customFormat="false" ht="15" hidden="false" customHeight="true" outlineLevel="0" collapsed="false">
      <c r="B375" s="17"/>
      <c r="E375" s="17"/>
      <c r="F375" s="17"/>
      <c r="G375" s="17"/>
      <c r="I375" s="17"/>
      <c r="M375" s="17"/>
      <c r="N375" s="17"/>
      <c r="O375" s="17"/>
      <c r="R375" s="17"/>
      <c r="S375" s="17"/>
      <c r="T375" s="17"/>
    </row>
    <row r="376" customFormat="false" ht="15" hidden="false" customHeight="true" outlineLevel="0" collapsed="false">
      <c r="B376" s="17"/>
      <c r="E376" s="17"/>
      <c r="F376" s="17"/>
      <c r="G376" s="17"/>
      <c r="I376" s="17"/>
      <c r="M376" s="17"/>
      <c r="N376" s="17"/>
      <c r="O376" s="17"/>
      <c r="R376" s="17"/>
      <c r="S376" s="17"/>
      <c r="T376" s="17"/>
    </row>
    <row r="377" customFormat="false" ht="15" hidden="false" customHeight="true" outlineLevel="0" collapsed="false">
      <c r="B377" s="17"/>
      <c r="E377" s="17"/>
      <c r="F377" s="17"/>
      <c r="G377" s="17"/>
      <c r="I377" s="17"/>
      <c r="M377" s="17"/>
      <c r="N377" s="17"/>
      <c r="O377" s="17"/>
      <c r="R377" s="17"/>
      <c r="S377" s="17"/>
      <c r="T377" s="17"/>
    </row>
    <row r="378" customFormat="false" ht="15" hidden="false" customHeight="true" outlineLevel="0" collapsed="false">
      <c r="B378" s="17"/>
      <c r="E378" s="17"/>
      <c r="F378" s="17"/>
      <c r="G378" s="17"/>
      <c r="I378" s="17"/>
      <c r="M378" s="17"/>
      <c r="N378" s="17"/>
      <c r="O378" s="17"/>
      <c r="R378" s="17"/>
      <c r="S378" s="17"/>
      <c r="T378" s="17"/>
    </row>
    <row r="379" customFormat="false" ht="15" hidden="false" customHeight="true" outlineLevel="0" collapsed="false">
      <c r="B379" s="17"/>
      <c r="E379" s="17"/>
      <c r="F379" s="17"/>
      <c r="G379" s="17"/>
      <c r="I379" s="17"/>
      <c r="M379" s="17"/>
      <c r="N379" s="17"/>
      <c r="O379" s="17"/>
      <c r="R379" s="17"/>
      <c r="S379" s="17"/>
      <c r="T379" s="17"/>
    </row>
    <row r="380" customFormat="false" ht="15" hidden="false" customHeight="true" outlineLevel="0" collapsed="false">
      <c r="B380" s="17"/>
      <c r="E380" s="17"/>
      <c r="F380" s="17"/>
      <c r="G380" s="17"/>
      <c r="I380" s="17"/>
      <c r="M380" s="17"/>
      <c r="N380" s="17"/>
      <c r="O380" s="17"/>
      <c r="R380" s="17"/>
      <c r="S380" s="17"/>
      <c r="T380" s="17"/>
    </row>
    <row r="381" customFormat="false" ht="15" hidden="false" customHeight="true" outlineLevel="0" collapsed="false">
      <c r="B381" s="17"/>
      <c r="E381" s="17"/>
      <c r="F381" s="17"/>
      <c r="G381" s="17"/>
      <c r="I381" s="17"/>
      <c r="M381" s="17"/>
      <c r="N381" s="17"/>
      <c r="O381" s="17"/>
      <c r="R381" s="17"/>
      <c r="S381" s="17"/>
      <c r="T381" s="17"/>
    </row>
    <row r="382" customFormat="false" ht="15" hidden="false" customHeight="true" outlineLevel="0" collapsed="false">
      <c r="B382" s="17"/>
      <c r="E382" s="17"/>
      <c r="F382" s="17"/>
      <c r="G382" s="17"/>
      <c r="I382" s="17"/>
      <c r="M382" s="17"/>
      <c r="N382" s="17"/>
      <c r="O382" s="17"/>
      <c r="R382" s="17"/>
      <c r="S382" s="17"/>
      <c r="T382" s="17"/>
    </row>
    <row r="383" customFormat="false" ht="15" hidden="false" customHeight="true" outlineLevel="0" collapsed="false">
      <c r="B383" s="17"/>
      <c r="E383" s="17"/>
      <c r="F383" s="17"/>
      <c r="G383" s="17"/>
      <c r="I383" s="17"/>
      <c r="M383" s="17"/>
      <c r="N383" s="17"/>
      <c r="O383" s="17"/>
      <c r="R383" s="17"/>
      <c r="S383" s="17"/>
      <c r="T383" s="17"/>
    </row>
    <row r="384" customFormat="false" ht="15" hidden="false" customHeight="true" outlineLevel="0" collapsed="false">
      <c r="B384" s="17"/>
      <c r="E384" s="17"/>
      <c r="F384" s="17"/>
      <c r="G384" s="17"/>
      <c r="I384" s="17"/>
      <c r="M384" s="17"/>
      <c r="N384" s="17"/>
      <c r="O384" s="17"/>
      <c r="R384" s="17"/>
      <c r="S384" s="17"/>
      <c r="T384" s="17"/>
    </row>
    <row r="385" customFormat="false" ht="15" hidden="false" customHeight="true" outlineLevel="0" collapsed="false">
      <c r="B385" s="17"/>
      <c r="E385" s="17"/>
      <c r="F385" s="17"/>
      <c r="G385" s="17"/>
      <c r="I385" s="17"/>
      <c r="M385" s="17"/>
      <c r="N385" s="17"/>
      <c r="O385" s="17"/>
      <c r="R385" s="17"/>
      <c r="S385" s="17"/>
      <c r="T385" s="17"/>
    </row>
    <row r="386" customFormat="false" ht="15" hidden="false" customHeight="true" outlineLevel="0" collapsed="false">
      <c r="B386" s="17"/>
      <c r="E386" s="17"/>
      <c r="F386" s="17"/>
      <c r="G386" s="17"/>
      <c r="I386" s="17"/>
      <c r="M386" s="17"/>
      <c r="N386" s="17"/>
      <c r="O386" s="17"/>
      <c r="R386" s="17"/>
      <c r="S386" s="17"/>
      <c r="T386" s="17"/>
    </row>
    <row r="387" customFormat="false" ht="15" hidden="false" customHeight="true" outlineLevel="0" collapsed="false">
      <c r="B387" s="17"/>
      <c r="E387" s="17"/>
      <c r="F387" s="17"/>
      <c r="G387" s="17"/>
      <c r="I387" s="17"/>
      <c r="M387" s="17"/>
      <c r="N387" s="17"/>
      <c r="O387" s="17"/>
      <c r="R387" s="17"/>
      <c r="S387" s="17"/>
      <c r="T387" s="17"/>
    </row>
    <row r="388" customFormat="false" ht="15" hidden="false" customHeight="true" outlineLevel="0" collapsed="false">
      <c r="B388" s="17"/>
      <c r="E388" s="17"/>
      <c r="F388" s="17"/>
      <c r="G388" s="17"/>
      <c r="I388" s="17"/>
      <c r="M388" s="17"/>
      <c r="N388" s="17"/>
      <c r="O388" s="17"/>
      <c r="R388" s="17"/>
      <c r="S388" s="17"/>
      <c r="T388" s="17"/>
    </row>
    <row r="389" customFormat="false" ht="15" hidden="false" customHeight="true" outlineLevel="0" collapsed="false">
      <c r="B389" s="17"/>
      <c r="E389" s="17"/>
      <c r="F389" s="17"/>
      <c r="G389" s="17"/>
      <c r="I389" s="17"/>
      <c r="M389" s="17"/>
      <c r="N389" s="17"/>
      <c r="O389" s="17"/>
      <c r="R389" s="17"/>
      <c r="S389" s="17"/>
      <c r="T389" s="17"/>
    </row>
    <row r="390" customFormat="false" ht="15" hidden="false" customHeight="true" outlineLevel="0" collapsed="false">
      <c r="B390" s="17"/>
      <c r="E390" s="17"/>
      <c r="F390" s="17"/>
      <c r="G390" s="17"/>
      <c r="I390" s="17"/>
      <c r="M390" s="17"/>
      <c r="N390" s="17"/>
      <c r="O390" s="17"/>
      <c r="R390" s="17"/>
      <c r="S390" s="17"/>
      <c r="T390" s="17"/>
    </row>
    <row r="391" customFormat="false" ht="15" hidden="false" customHeight="true" outlineLevel="0" collapsed="false">
      <c r="B391" s="17"/>
      <c r="E391" s="17"/>
      <c r="F391" s="17"/>
      <c r="G391" s="17"/>
      <c r="I391" s="17"/>
      <c r="M391" s="17"/>
      <c r="N391" s="17"/>
      <c r="O391" s="17"/>
      <c r="R391" s="17"/>
      <c r="S391" s="17"/>
      <c r="T391" s="17"/>
    </row>
    <row r="392" customFormat="false" ht="15" hidden="false" customHeight="true" outlineLevel="0" collapsed="false">
      <c r="B392" s="17"/>
      <c r="E392" s="17"/>
      <c r="F392" s="17"/>
      <c r="G392" s="17"/>
      <c r="I392" s="17"/>
      <c r="M392" s="17"/>
      <c r="N392" s="17"/>
      <c r="O392" s="17"/>
      <c r="R392" s="17"/>
      <c r="S392" s="17"/>
      <c r="T392" s="17"/>
    </row>
    <row r="393" customFormat="false" ht="15" hidden="false" customHeight="true" outlineLevel="0" collapsed="false">
      <c r="B393" s="17"/>
      <c r="E393" s="17"/>
      <c r="F393" s="17"/>
      <c r="G393" s="17"/>
      <c r="I393" s="17"/>
      <c r="M393" s="17"/>
      <c r="N393" s="17"/>
      <c r="O393" s="17"/>
      <c r="R393" s="17"/>
      <c r="S393" s="17"/>
      <c r="T393" s="17"/>
    </row>
    <row r="394" customFormat="false" ht="15" hidden="false" customHeight="true" outlineLevel="0" collapsed="false">
      <c r="B394" s="17"/>
      <c r="E394" s="17"/>
      <c r="F394" s="17"/>
      <c r="G394" s="17"/>
      <c r="I394" s="17"/>
      <c r="M394" s="17"/>
      <c r="N394" s="17"/>
      <c r="O394" s="17"/>
      <c r="R394" s="17"/>
      <c r="S394" s="17"/>
      <c r="T394" s="17"/>
    </row>
    <row r="395" customFormat="false" ht="15" hidden="false" customHeight="true" outlineLevel="0" collapsed="false">
      <c r="B395" s="17"/>
      <c r="E395" s="17"/>
      <c r="F395" s="17"/>
      <c r="G395" s="17"/>
      <c r="I395" s="17"/>
      <c r="M395" s="17"/>
      <c r="N395" s="17"/>
      <c r="O395" s="17"/>
      <c r="R395" s="17"/>
      <c r="S395" s="17"/>
      <c r="T395" s="17"/>
    </row>
    <row r="396" customFormat="false" ht="15" hidden="false" customHeight="true" outlineLevel="0" collapsed="false">
      <c r="B396" s="17"/>
      <c r="E396" s="17"/>
      <c r="F396" s="17"/>
      <c r="G396" s="17"/>
      <c r="I396" s="17"/>
      <c r="M396" s="17"/>
      <c r="N396" s="17"/>
      <c r="O396" s="17"/>
      <c r="R396" s="17"/>
      <c r="S396" s="17"/>
      <c r="T396" s="17"/>
    </row>
    <row r="397" customFormat="false" ht="15" hidden="false" customHeight="true" outlineLevel="0" collapsed="false">
      <c r="B397" s="17"/>
      <c r="E397" s="17"/>
      <c r="F397" s="17"/>
      <c r="G397" s="17"/>
      <c r="I397" s="17"/>
      <c r="M397" s="17"/>
      <c r="N397" s="17"/>
      <c r="O397" s="17"/>
      <c r="R397" s="17"/>
      <c r="S397" s="17"/>
      <c r="T397" s="17"/>
    </row>
    <row r="398" customFormat="false" ht="15" hidden="false" customHeight="true" outlineLevel="0" collapsed="false">
      <c r="B398" s="17"/>
      <c r="E398" s="17"/>
      <c r="F398" s="17"/>
      <c r="G398" s="17"/>
      <c r="I398" s="17"/>
      <c r="M398" s="17"/>
      <c r="N398" s="17"/>
      <c r="O398" s="17"/>
      <c r="R398" s="17"/>
      <c r="S398" s="17"/>
      <c r="T398" s="17"/>
    </row>
    <row r="399" customFormat="false" ht="15" hidden="false" customHeight="true" outlineLevel="0" collapsed="false">
      <c r="B399" s="17"/>
      <c r="E399" s="17"/>
      <c r="F399" s="17"/>
      <c r="G399" s="17"/>
      <c r="I399" s="17"/>
      <c r="M399" s="17"/>
      <c r="N399" s="17"/>
      <c r="O399" s="17"/>
      <c r="R399" s="17"/>
      <c r="S399" s="17"/>
      <c r="T399" s="17"/>
    </row>
    <row r="400" customFormat="false" ht="15" hidden="false" customHeight="true" outlineLevel="0" collapsed="false">
      <c r="B400" s="17"/>
      <c r="E400" s="17"/>
      <c r="F400" s="17"/>
      <c r="G400" s="17"/>
      <c r="I400" s="17"/>
      <c r="M400" s="17"/>
      <c r="N400" s="17"/>
      <c r="O400" s="17"/>
      <c r="R400" s="17"/>
      <c r="S400" s="17"/>
      <c r="T400" s="17"/>
    </row>
    <row r="401" customFormat="false" ht="15" hidden="false" customHeight="true" outlineLevel="0" collapsed="false">
      <c r="B401" s="17"/>
      <c r="E401" s="17"/>
      <c r="F401" s="17"/>
      <c r="G401" s="17"/>
      <c r="I401" s="17"/>
      <c r="M401" s="17"/>
      <c r="N401" s="17"/>
      <c r="O401" s="17"/>
      <c r="R401" s="17"/>
      <c r="S401" s="17"/>
      <c r="T401" s="17"/>
    </row>
    <row r="402" customFormat="false" ht="15" hidden="false" customHeight="true" outlineLevel="0" collapsed="false">
      <c r="B402" s="17"/>
      <c r="E402" s="17"/>
      <c r="F402" s="17"/>
      <c r="G402" s="17"/>
      <c r="I402" s="17"/>
      <c r="M402" s="17"/>
      <c r="N402" s="17"/>
      <c r="O402" s="17"/>
      <c r="R402" s="17"/>
      <c r="S402" s="17"/>
      <c r="T402" s="17"/>
    </row>
    <row r="403" customFormat="false" ht="15" hidden="false" customHeight="true" outlineLevel="0" collapsed="false">
      <c r="B403" s="17"/>
      <c r="E403" s="17"/>
      <c r="F403" s="17"/>
      <c r="G403" s="17"/>
      <c r="I403" s="17"/>
      <c r="M403" s="17"/>
      <c r="N403" s="17"/>
      <c r="O403" s="17"/>
      <c r="R403" s="17"/>
      <c r="S403" s="17"/>
      <c r="T403" s="17"/>
    </row>
    <row r="404" customFormat="false" ht="15" hidden="false" customHeight="true" outlineLevel="0" collapsed="false">
      <c r="B404" s="17"/>
      <c r="E404" s="17"/>
      <c r="F404" s="17"/>
      <c r="G404" s="17"/>
      <c r="I404" s="17"/>
      <c r="M404" s="17"/>
      <c r="N404" s="17"/>
      <c r="O404" s="17"/>
      <c r="R404" s="17"/>
      <c r="S404" s="17"/>
      <c r="T404" s="17"/>
    </row>
    <row r="405" customFormat="false" ht="15" hidden="false" customHeight="true" outlineLevel="0" collapsed="false">
      <c r="B405" s="17"/>
      <c r="E405" s="17"/>
      <c r="F405" s="17"/>
      <c r="G405" s="17"/>
      <c r="I405" s="17"/>
      <c r="M405" s="17"/>
      <c r="N405" s="17"/>
      <c r="O405" s="17"/>
      <c r="R405" s="17"/>
      <c r="S405" s="17"/>
      <c r="T405" s="17"/>
    </row>
    <row r="406" customFormat="false" ht="15" hidden="false" customHeight="true" outlineLevel="0" collapsed="false">
      <c r="B406" s="17"/>
      <c r="E406" s="17"/>
      <c r="F406" s="17"/>
      <c r="G406" s="17"/>
      <c r="I406" s="17"/>
      <c r="M406" s="17"/>
      <c r="N406" s="17"/>
      <c r="O406" s="17"/>
      <c r="R406" s="17"/>
      <c r="S406" s="17"/>
      <c r="T406" s="17"/>
    </row>
    <row r="407" customFormat="false" ht="15" hidden="false" customHeight="true" outlineLevel="0" collapsed="false">
      <c r="B407" s="17"/>
      <c r="E407" s="17"/>
      <c r="F407" s="17"/>
      <c r="G407" s="17"/>
      <c r="I407" s="17"/>
      <c r="M407" s="17"/>
      <c r="N407" s="17"/>
      <c r="O407" s="17"/>
      <c r="R407" s="17"/>
      <c r="S407" s="17"/>
      <c r="T407" s="17"/>
    </row>
    <row r="408" customFormat="false" ht="15" hidden="false" customHeight="true" outlineLevel="0" collapsed="false">
      <c r="B408" s="17"/>
      <c r="E408" s="17"/>
      <c r="F408" s="17"/>
      <c r="G408" s="17"/>
      <c r="I408" s="17"/>
      <c r="M408" s="17"/>
      <c r="N408" s="17"/>
      <c r="O408" s="17"/>
      <c r="R408" s="17"/>
      <c r="S408" s="17"/>
      <c r="T408" s="17"/>
    </row>
    <row r="409" customFormat="false" ht="15" hidden="false" customHeight="true" outlineLevel="0" collapsed="false">
      <c r="B409" s="17"/>
      <c r="E409" s="17"/>
      <c r="F409" s="17"/>
      <c r="G409" s="17"/>
      <c r="I409" s="17"/>
      <c r="M409" s="17"/>
      <c r="N409" s="17"/>
      <c r="O409" s="17"/>
      <c r="R409" s="17"/>
      <c r="S409" s="17"/>
      <c r="T409" s="17"/>
    </row>
    <row r="410" customFormat="false" ht="15" hidden="false" customHeight="true" outlineLevel="0" collapsed="false">
      <c r="B410" s="17"/>
      <c r="E410" s="17"/>
      <c r="F410" s="17"/>
      <c r="G410" s="17"/>
      <c r="I410" s="17"/>
      <c r="M410" s="17"/>
      <c r="N410" s="17"/>
      <c r="O410" s="17"/>
      <c r="R410" s="17"/>
      <c r="S410" s="17"/>
      <c r="T410" s="17"/>
    </row>
    <row r="411" customFormat="false" ht="15" hidden="false" customHeight="true" outlineLevel="0" collapsed="false">
      <c r="B411" s="17"/>
      <c r="E411" s="17"/>
      <c r="F411" s="17"/>
      <c r="G411" s="17"/>
      <c r="I411" s="17"/>
      <c r="M411" s="17"/>
      <c r="N411" s="17"/>
      <c r="O411" s="17"/>
      <c r="R411" s="17"/>
      <c r="S411" s="17"/>
      <c r="T411" s="17"/>
    </row>
    <row r="412" customFormat="false" ht="15" hidden="false" customHeight="true" outlineLevel="0" collapsed="false">
      <c r="B412" s="17"/>
      <c r="E412" s="17"/>
      <c r="F412" s="17"/>
      <c r="G412" s="17"/>
      <c r="I412" s="17"/>
      <c r="M412" s="17"/>
      <c r="N412" s="17"/>
      <c r="O412" s="17"/>
      <c r="R412" s="17"/>
      <c r="S412" s="17"/>
      <c r="T412" s="17"/>
    </row>
    <row r="413" customFormat="false" ht="15" hidden="false" customHeight="true" outlineLevel="0" collapsed="false">
      <c r="B413" s="17"/>
      <c r="E413" s="17"/>
      <c r="F413" s="17"/>
      <c r="G413" s="17"/>
      <c r="I413" s="17"/>
      <c r="M413" s="17"/>
      <c r="N413" s="17"/>
      <c r="O413" s="17"/>
      <c r="R413" s="17"/>
      <c r="S413" s="17"/>
      <c r="T413" s="17"/>
    </row>
    <row r="414" customFormat="false" ht="15" hidden="false" customHeight="true" outlineLevel="0" collapsed="false">
      <c r="B414" s="17"/>
      <c r="E414" s="17"/>
      <c r="F414" s="17"/>
      <c r="G414" s="17"/>
      <c r="I414" s="17"/>
      <c r="M414" s="17"/>
      <c r="N414" s="17"/>
      <c r="O414" s="17"/>
      <c r="R414" s="17"/>
      <c r="S414" s="17"/>
      <c r="T414" s="17"/>
    </row>
    <row r="415" customFormat="false" ht="15" hidden="false" customHeight="true" outlineLevel="0" collapsed="false">
      <c r="B415" s="17"/>
      <c r="E415" s="17"/>
      <c r="F415" s="17"/>
      <c r="G415" s="17"/>
      <c r="I415" s="17"/>
      <c r="M415" s="17"/>
      <c r="N415" s="17"/>
      <c r="O415" s="17"/>
      <c r="R415" s="17"/>
      <c r="S415" s="17"/>
      <c r="T415" s="17"/>
    </row>
    <row r="416" customFormat="false" ht="15" hidden="false" customHeight="true" outlineLevel="0" collapsed="false">
      <c r="B416" s="17"/>
      <c r="E416" s="17"/>
      <c r="F416" s="17"/>
      <c r="G416" s="17"/>
      <c r="I416" s="17"/>
      <c r="M416" s="17"/>
      <c r="N416" s="17"/>
      <c r="O416" s="17"/>
      <c r="R416" s="17"/>
      <c r="S416" s="17"/>
      <c r="T416" s="17"/>
    </row>
    <row r="417" customFormat="false" ht="15" hidden="false" customHeight="true" outlineLevel="0" collapsed="false">
      <c r="B417" s="17"/>
      <c r="E417" s="17"/>
      <c r="F417" s="17"/>
      <c r="G417" s="17"/>
      <c r="I417" s="17"/>
      <c r="M417" s="17"/>
      <c r="N417" s="17"/>
      <c r="O417" s="17"/>
      <c r="R417" s="17"/>
      <c r="S417" s="17"/>
      <c r="T417" s="17"/>
    </row>
    <row r="418" customFormat="false" ht="15" hidden="false" customHeight="true" outlineLevel="0" collapsed="false">
      <c r="B418" s="17"/>
      <c r="E418" s="17"/>
      <c r="F418" s="17"/>
      <c r="G418" s="17"/>
      <c r="I418" s="17"/>
      <c r="M418" s="17"/>
      <c r="N418" s="17"/>
      <c r="O418" s="17"/>
      <c r="R418" s="17"/>
      <c r="S418" s="17"/>
      <c r="T418" s="17"/>
    </row>
    <row r="419" customFormat="false" ht="15" hidden="false" customHeight="true" outlineLevel="0" collapsed="false">
      <c r="B419" s="17"/>
      <c r="E419" s="17"/>
      <c r="F419" s="17"/>
      <c r="G419" s="17"/>
      <c r="I419" s="17"/>
      <c r="M419" s="17"/>
      <c r="N419" s="17"/>
      <c r="O419" s="17"/>
      <c r="R419" s="17"/>
      <c r="S419" s="17"/>
      <c r="T419" s="17"/>
    </row>
    <row r="420" customFormat="false" ht="15" hidden="false" customHeight="true" outlineLevel="0" collapsed="false">
      <c r="B420" s="17"/>
      <c r="E420" s="17"/>
      <c r="F420" s="17"/>
      <c r="G420" s="17"/>
      <c r="I420" s="17"/>
      <c r="M420" s="17"/>
      <c r="N420" s="17"/>
      <c r="O420" s="17"/>
      <c r="R420" s="17"/>
      <c r="S420" s="17"/>
      <c r="T420" s="17"/>
    </row>
    <row r="421" customFormat="false" ht="15" hidden="false" customHeight="true" outlineLevel="0" collapsed="false">
      <c r="B421" s="17"/>
      <c r="E421" s="17"/>
      <c r="F421" s="17"/>
      <c r="G421" s="17"/>
      <c r="I421" s="17"/>
      <c r="M421" s="17"/>
      <c r="N421" s="17"/>
      <c r="O421" s="17"/>
      <c r="R421" s="17"/>
      <c r="S421" s="17"/>
      <c r="T421" s="17"/>
    </row>
    <row r="422" customFormat="false" ht="15" hidden="false" customHeight="true" outlineLevel="0" collapsed="false">
      <c r="B422" s="17"/>
      <c r="E422" s="17"/>
      <c r="F422" s="17"/>
      <c r="G422" s="17"/>
      <c r="I422" s="17"/>
      <c r="M422" s="17"/>
      <c r="N422" s="17"/>
      <c r="O422" s="17"/>
      <c r="R422" s="17"/>
      <c r="S422" s="17"/>
      <c r="T422" s="17"/>
    </row>
    <row r="423" customFormat="false" ht="15" hidden="false" customHeight="true" outlineLevel="0" collapsed="false">
      <c r="B423" s="17"/>
      <c r="E423" s="17"/>
      <c r="F423" s="17"/>
      <c r="G423" s="17"/>
      <c r="I423" s="17"/>
      <c r="M423" s="17"/>
      <c r="N423" s="17"/>
      <c r="O423" s="17"/>
      <c r="R423" s="17"/>
      <c r="S423" s="17"/>
      <c r="T423" s="17"/>
    </row>
    <row r="424" customFormat="false" ht="15" hidden="false" customHeight="true" outlineLevel="0" collapsed="false">
      <c r="B424" s="17"/>
      <c r="E424" s="17"/>
      <c r="F424" s="17"/>
      <c r="G424" s="17"/>
      <c r="I424" s="17"/>
      <c r="M424" s="17"/>
      <c r="N424" s="17"/>
      <c r="O424" s="17"/>
      <c r="R424" s="17"/>
      <c r="S424" s="17"/>
      <c r="T424" s="17"/>
    </row>
    <row r="425" customFormat="false" ht="15" hidden="false" customHeight="true" outlineLevel="0" collapsed="false">
      <c r="B425" s="17"/>
      <c r="E425" s="17"/>
      <c r="F425" s="17"/>
      <c r="G425" s="17"/>
      <c r="I425" s="17"/>
      <c r="M425" s="17"/>
      <c r="N425" s="17"/>
      <c r="O425" s="17"/>
      <c r="R425" s="17"/>
      <c r="S425" s="17"/>
      <c r="T425" s="17"/>
    </row>
    <row r="426" customFormat="false" ht="15" hidden="false" customHeight="true" outlineLevel="0" collapsed="false">
      <c r="B426" s="17"/>
      <c r="E426" s="17"/>
      <c r="F426" s="17"/>
      <c r="G426" s="17"/>
      <c r="I426" s="17"/>
      <c r="M426" s="17"/>
      <c r="N426" s="17"/>
      <c r="O426" s="17"/>
      <c r="R426" s="17"/>
      <c r="S426" s="17"/>
      <c r="T426" s="17"/>
    </row>
    <row r="427" customFormat="false" ht="15" hidden="false" customHeight="true" outlineLevel="0" collapsed="false">
      <c r="B427" s="17"/>
      <c r="E427" s="17"/>
      <c r="F427" s="17"/>
      <c r="G427" s="17"/>
      <c r="I427" s="17"/>
      <c r="M427" s="17"/>
      <c r="N427" s="17"/>
      <c r="O427" s="17"/>
      <c r="R427" s="17"/>
      <c r="S427" s="17"/>
      <c r="T427" s="17"/>
    </row>
    <row r="428" customFormat="false" ht="15" hidden="false" customHeight="true" outlineLevel="0" collapsed="false">
      <c r="B428" s="17"/>
      <c r="E428" s="17"/>
      <c r="F428" s="17"/>
      <c r="G428" s="17"/>
      <c r="I428" s="17"/>
      <c r="M428" s="17"/>
      <c r="N428" s="17"/>
      <c r="O428" s="17"/>
      <c r="R428" s="17"/>
      <c r="S428" s="17"/>
      <c r="T428" s="17"/>
    </row>
    <row r="429" customFormat="false" ht="15" hidden="false" customHeight="true" outlineLevel="0" collapsed="false">
      <c r="B429" s="17"/>
      <c r="E429" s="17"/>
      <c r="F429" s="17"/>
      <c r="G429" s="17"/>
      <c r="I429" s="17"/>
      <c r="M429" s="17"/>
      <c r="N429" s="17"/>
      <c r="O429" s="17"/>
      <c r="R429" s="17"/>
      <c r="S429" s="17"/>
      <c r="T429" s="17"/>
    </row>
    <row r="430" customFormat="false" ht="15" hidden="false" customHeight="true" outlineLevel="0" collapsed="false">
      <c r="B430" s="17"/>
      <c r="E430" s="17"/>
      <c r="F430" s="17"/>
      <c r="G430" s="17"/>
      <c r="I430" s="17"/>
      <c r="M430" s="17"/>
      <c r="N430" s="17"/>
      <c r="O430" s="17"/>
      <c r="R430" s="17"/>
      <c r="S430" s="17"/>
      <c r="T430" s="17"/>
    </row>
    <row r="431" customFormat="false" ht="15" hidden="false" customHeight="true" outlineLevel="0" collapsed="false">
      <c r="B431" s="17"/>
      <c r="E431" s="17"/>
      <c r="F431" s="17"/>
      <c r="G431" s="17"/>
      <c r="I431" s="17"/>
      <c r="M431" s="17"/>
      <c r="N431" s="17"/>
      <c r="O431" s="17"/>
      <c r="R431" s="17"/>
      <c r="S431" s="17"/>
      <c r="T431" s="17"/>
    </row>
    <row r="432" customFormat="false" ht="15" hidden="false" customHeight="true" outlineLevel="0" collapsed="false">
      <c r="B432" s="17"/>
      <c r="E432" s="17"/>
      <c r="F432" s="17"/>
      <c r="G432" s="17"/>
      <c r="I432" s="17"/>
      <c r="M432" s="17"/>
      <c r="N432" s="17"/>
      <c r="O432" s="17"/>
      <c r="R432" s="17"/>
      <c r="S432" s="17"/>
      <c r="T432" s="17"/>
    </row>
    <row r="433" customFormat="false" ht="15" hidden="false" customHeight="true" outlineLevel="0" collapsed="false">
      <c r="B433" s="17"/>
      <c r="E433" s="17"/>
      <c r="F433" s="17"/>
      <c r="G433" s="17"/>
      <c r="I433" s="17"/>
      <c r="M433" s="17"/>
      <c r="N433" s="17"/>
      <c r="O433" s="17"/>
      <c r="R433" s="17"/>
      <c r="S433" s="17"/>
      <c r="T433" s="17"/>
    </row>
    <row r="434" customFormat="false" ht="15" hidden="false" customHeight="true" outlineLevel="0" collapsed="false">
      <c r="B434" s="17"/>
      <c r="E434" s="17"/>
      <c r="F434" s="17"/>
      <c r="G434" s="17"/>
      <c r="I434" s="17"/>
      <c r="M434" s="17"/>
      <c r="N434" s="17"/>
      <c r="O434" s="17"/>
      <c r="R434" s="17"/>
      <c r="S434" s="17"/>
      <c r="T434" s="17"/>
    </row>
    <row r="435" customFormat="false" ht="15" hidden="false" customHeight="true" outlineLevel="0" collapsed="false">
      <c r="B435" s="17"/>
      <c r="E435" s="17"/>
      <c r="F435" s="17"/>
      <c r="G435" s="17"/>
      <c r="I435" s="17"/>
      <c r="M435" s="17"/>
      <c r="N435" s="17"/>
      <c r="O435" s="17"/>
      <c r="R435" s="17"/>
      <c r="S435" s="17"/>
      <c r="T435" s="17"/>
    </row>
    <row r="436" customFormat="false" ht="15" hidden="false" customHeight="true" outlineLevel="0" collapsed="false">
      <c r="B436" s="17"/>
      <c r="E436" s="17"/>
      <c r="F436" s="17"/>
      <c r="G436" s="17"/>
      <c r="I436" s="17"/>
      <c r="M436" s="17"/>
      <c r="N436" s="17"/>
      <c r="O436" s="17"/>
      <c r="R436" s="17"/>
      <c r="S436" s="17"/>
      <c r="T436" s="17"/>
    </row>
    <row r="437" customFormat="false" ht="15" hidden="false" customHeight="true" outlineLevel="0" collapsed="false">
      <c r="B437" s="17"/>
      <c r="E437" s="17"/>
      <c r="F437" s="17"/>
      <c r="G437" s="17"/>
      <c r="I437" s="17"/>
      <c r="M437" s="17"/>
      <c r="N437" s="17"/>
      <c r="O437" s="17"/>
      <c r="R437" s="17"/>
      <c r="S437" s="17"/>
      <c r="T437" s="17"/>
    </row>
    <row r="438" customFormat="false" ht="15" hidden="false" customHeight="true" outlineLevel="0" collapsed="false">
      <c r="B438" s="17"/>
      <c r="E438" s="17"/>
      <c r="F438" s="17"/>
      <c r="G438" s="17"/>
      <c r="I438" s="17"/>
      <c r="M438" s="17"/>
      <c r="N438" s="17"/>
      <c r="O438" s="17"/>
      <c r="R438" s="17"/>
      <c r="S438" s="17"/>
      <c r="T438" s="17"/>
    </row>
    <row r="439" customFormat="false" ht="15" hidden="false" customHeight="true" outlineLevel="0" collapsed="false">
      <c r="B439" s="17"/>
      <c r="E439" s="17"/>
      <c r="F439" s="17"/>
      <c r="G439" s="17"/>
      <c r="I439" s="17"/>
      <c r="M439" s="17"/>
      <c r="N439" s="17"/>
      <c r="O439" s="17"/>
      <c r="R439" s="17"/>
      <c r="S439" s="17"/>
      <c r="T439" s="17"/>
    </row>
    <row r="440" customFormat="false" ht="15" hidden="false" customHeight="true" outlineLevel="0" collapsed="false">
      <c r="B440" s="17"/>
      <c r="E440" s="17"/>
      <c r="F440" s="17"/>
      <c r="G440" s="17"/>
      <c r="I440" s="17"/>
      <c r="M440" s="17"/>
      <c r="N440" s="17"/>
      <c r="O440" s="17"/>
      <c r="R440" s="17"/>
      <c r="S440" s="17"/>
      <c r="T440" s="17"/>
    </row>
    <row r="441" customFormat="false" ht="15" hidden="false" customHeight="true" outlineLevel="0" collapsed="false">
      <c r="B441" s="17"/>
      <c r="E441" s="17"/>
      <c r="F441" s="17"/>
      <c r="G441" s="17"/>
      <c r="I441" s="17"/>
      <c r="M441" s="17"/>
      <c r="N441" s="17"/>
      <c r="O441" s="17"/>
      <c r="R441" s="17"/>
      <c r="S441" s="17"/>
      <c r="T441" s="17"/>
    </row>
    <row r="442" customFormat="false" ht="15" hidden="false" customHeight="true" outlineLevel="0" collapsed="false">
      <c r="B442" s="17"/>
      <c r="E442" s="17"/>
      <c r="F442" s="17"/>
      <c r="G442" s="17"/>
      <c r="I442" s="17"/>
      <c r="M442" s="17"/>
      <c r="N442" s="17"/>
      <c r="O442" s="17"/>
      <c r="R442" s="17"/>
      <c r="S442" s="17"/>
      <c r="T442" s="17"/>
    </row>
    <row r="443" customFormat="false" ht="15" hidden="false" customHeight="true" outlineLevel="0" collapsed="false">
      <c r="B443" s="17"/>
      <c r="E443" s="17"/>
      <c r="F443" s="17"/>
      <c r="G443" s="17"/>
      <c r="I443" s="17"/>
      <c r="M443" s="17"/>
      <c r="N443" s="17"/>
      <c r="O443" s="17"/>
      <c r="R443" s="17"/>
      <c r="S443" s="17"/>
      <c r="T443" s="17"/>
    </row>
    <row r="444" customFormat="false" ht="15" hidden="false" customHeight="true" outlineLevel="0" collapsed="false">
      <c r="B444" s="17"/>
      <c r="E444" s="17"/>
      <c r="F444" s="17"/>
      <c r="G444" s="17"/>
      <c r="I444" s="17"/>
      <c r="M444" s="17"/>
      <c r="N444" s="17"/>
      <c r="O444" s="17"/>
      <c r="R444" s="17"/>
      <c r="S444" s="17"/>
      <c r="T444" s="17"/>
    </row>
    <row r="445" customFormat="false" ht="15" hidden="false" customHeight="true" outlineLevel="0" collapsed="false">
      <c r="B445" s="17"/>
      <c r="E445" s="17"/>
      <c r="F445" s="17"/>
      <c r="G445" s="17"/>
      <c r="I445" s="17"/>
      <c r="M445" s="17"/>
      <c r="N445" s="17"/>
      <c r="O445" s="17"/>
      <c r="R445" s="17"/>
      <c r="S445" s="17"/>
      <c r="T445" s="17"/>
    </row>
    <row r="446" customFormat="false" ht="15" hidden="false" customHeight="true" outlineLevel="0" collapsed="false">
      <c r="B446" s="17"/>
      <c r="E446" s="17"/>
      <c r="F446" s="17"/>
      <c r="G446" s="17"/>
      <c r="I446" s="17"/>
      <c r="M446" s="17"/>
      <c r="N446" s="17"/>
      <c r="O446" s="17"/>
      <c r="R446" s="17"/>
      <c r="S446" s="17"/>
      <c r="T446" s="17"/>
    </row>
    <row r="447" customFormat="false" ht="15" hidden="false" customHeight="true" outlineLevel="0" collapsed="false">
      <c r="B447" s="17"/>
      <c r="E447" s="17"/>
      <c r="F447" s="17"/>
      <c r="G447" s="17"/>
      <c r="I447" s="17"/>
      <c r="M447" s="17"/>
      <c r="N447" s="17"/>
      <c r="O447" s="17"/>
      <c r="R447" s="17"/>
      <c r="S447" s="17"/>
      <c r="T447" s="17"/>
    </row>
    <row r="448" customFormat="false" ht="15" hidden="false" customHeight="true" outlineLevel="0" collapsed="false">
      <c r="B448" s="17"/>
      <c r="E448" s="17"/>
      <c r="F448" s="17"/>
      <c r="G448" s="17"/>
      <c r="I448" s="17"/>
      <c r="M448" s="17"/>
      <c r="N448" s="17"/>
      <c r="O448" s="17"/>
      <c r="R448" s="17"/>
      <c r="S448" s="17"/>
      <c r="T448" s="17"/>
    </row>
    <row r="449" customFormat="false" ht="15" hidden="false" customHeight="true" outlineLevel="0" collapsed="false">
      <c r="B449" s="17"/>
      <c r="E449" s="17"/>
      <c r="F449" s="17"/>
      <c r="G449" s="17"/>
      <c r="I449" s="17"/>
      <c r="M449" s="17"/>
      <c r="N449" s="17"/>
      <c r="O449" s="17"/>
      <c r="R449" s="17"/>
      <c r="S449" s="17"/>
      <c r="T449" s="17"/>
    </row>
    <row r="450" customFormat="false" ht="15" hidden="false" customHeight="true" outlineLevel="0" collapsed="false">
      <c r="B450" s="17"/>
      <c r="E450" s="17"/>
      <c r="F450" s="17"/>
      <c r="G450" s="17"/>
      <c r="I450" s="17"/>
      <c r="M450" s="17"/>
      <c r="N450" s="17"/>
      <c r="O450" s="17"/>
      <c r="R450" s="17"/>
      <c r="S450" s="17"/>
      <c r="T450" s="17"/>
    </row>
    <row r="451" customFormat="false" ht="15" hidden="false" customHeight="true" outlineLevel="0" collapsed="false">
      <c r="B451" s="17"/>
      <c r="E451" s="17"/>
      <c r="F451" s="17"/>
      <c r="G451" s="17"/>
      <c r="I451" s="17"/>
      <c r="M451" s="17"/>
      <c r="N451" s="17"/>
      <c r="O451" s="17"/>
      <c r="R451" s="17"/>
      <c r="S451" s="17"/>
      <c r="T451" s="17"/>
    </row>
    <row r="452" customFormat="false" ht="15" hidden="false" customHeight="true" outlineLevel="0" collapsed="false">
      <c r="B452" s="17"/>
      <c r="E452" s="17"/>
      <c r="F452" s="17"/>
      <c r="G452" s="17"/>
      <c r="I452" s="17"/>
      <c r="M452" s="17"/>
      <c r="N452" s="17"/>
      <c r="O452" s="17"/>
      <c r="R452" s="17"/>
      <c r="S452" s="17"/>
      <c r="T452" s="17"/>
    </row>
    <row r="453" customFormat="false" ht="15" hidden="false" customHeight="true" outlineLevel="0" collapsed="false">
      <c r="B453" s="17"/>
      <c r="E453" s="17"/>
      <c r="F453" s="17"/>
      <c r="G453" s="17"/>
      <c r="I453" s="17"/>
      <c r="M453" s="17"/>
      <c r="N453" s="17"/>
      <c r="O453" s="17"/>
      <c r="R453" s="17"/>
      <c r="S453" s="17"/>
      <c r="T453" s="17"/>
    </row>
    <row r="454" customFormat="false" ht="15" hidden="false" customHeight="true" outlineLevel="0" collapsed="false">
      <c r="B454" s="17"/>
      <c r="E454" s="17"/>
      <c r="F454" s="17"/>
      <c r="G454" s="17"/>
      <c r="I454" s="17"/>
      <c r="M454" s="17"/>
      <c r="N454" s="17"/>
      <c r="O454" s="17"/>
      <c r="R454" s="17"/>
      <c r="S454" s="17"/>
      <c r="T454" s="17"/>
    </row>
    <row r="455" customFormat="false" ht="15" hidden="false" customHeight="true" outlineLevel="0" collapsed="false">
      <c r="B455" s="17"/>
      <c r="E455" s="17"/>
      <c r="F455" s="17"/>
      <c r="G455" s="17"/>
      <c r="I455" s="17"/>
      <c r="M455" s="17"/>
      <c r="N455" s="17"/>
      <c r="O455" s="17"/>
      <c r="R455" s="17"/>
      <c r="S455" s="17"/>
      <c r="T455" s="17"/>
    </row>
    <row r="456" customFormat="false" ht="15" hidden="false" customHeight="true" outlineLevel="0" collapsed="false">
      <c r="B456" s="17"/>
      <c r="E456" s="17"/>
      <c r="F456" s="17"/>
      <c r="G456" s="17"/>
      <c r="I456" s="17"/>
      <c r="M456" s="17"/>
      <c r="N456" s="17"/>
      <c r="O456" s="17"/>
      <c r="R456" s="17"/>
      <c r="S456" s="17"/>
      <c r="T456" s="17"/>
    </row>
    <row r="457" customFormat="false" ht="15" hidden="false" customHeight="true" outlineLevel="0" collapsed="false">
      <c r="B457" s="17"/>
      <c r="E457" s="17"/>
      <c r="F457" s="17"/>
      <c r="G457" s="17"/>
      <c r="I457" s="17"/>
      <c r="M457" s="17"/>
      <c r="N457" s="17"/>
      <c r="O457" s="17"/>
      <c r="R457" s="17"/>
      <c r="S457" s="17"/>
      <c r="T457" s="17"/>
    </row>
    <row r="458" customFormat="false" ht="15" hidden="false" customHeight="true" outlineLevel="0" collapsed="false">
      <c r="B458" s="17"/>
      <c r="E458" s="17"/>
      <c r="F458" s="17"/>
      <c r="G458" s="17"/>
      <c r="I458" s="17"/>
      <c r="M458" s="17"/>
      <c r="N458" s="17"/>
      <c r="O458" s="17"/>
      <c r="R458" s="17"/>
      <c r="S458" s="17"/>
      <c r="T458" s="17"/>
    </row>
    <row r="459" customFormat="false" ht="15" hidden="false" customHeight="true" outlineLevel="0" collapsed="false">
      <c r="B459" s="17"/>
      <c r="E459" s="17"/>
      <c r="F459" s="17"/>
      <c r="G459" s="17"/>
      <c r="I459" s="17"/>
      <c r="M459" s="17"/>
      <c r="N459" s="17"/>
      <c r="O459" s="17"/>
      <c r="R459" s="17"/>
      <c r="S459" s="17"/>
      <c r="T459" s="17"/>
    </row>
    <row r="460" customFormat="false" ht="15" hidden="false" customHeight="true" outlineLevel="0" collapsed="false">
      <c r="B460" s="17"/>
      <c r="E460" s="17"/>
      <c r="F460" s="17"/>
      <c r="G460" s="17"/>
      <c r="I460" s="17"/>
      <c r="M460" s="17"/>
      <c r="N460" s="17"/>
      <c r="O460" s="17"/>
      <c r="R460" s="17"/>
      <c r="S460" s="17"/>
      <c r="T460" s="17"/>
    </row>
    <row r="461" customFormat="false" ht="15" hidden="false" customHeight="true" outlineLevel="0" collapsed="false">
      <c r="B461" s="17"/>
      <c r="E461" s="17"/>
      <c r="F461" s="17"/>
      <c r="G461" s="17"/>
      <c r="I461" s="17"/>
      <c r="M461" s="17"/>
      <c r="N461" s="17"/>
      <c r="O461" s="17"/>
      <c r="R461" s="17"/>
      <c r="S461" s="17"/>
      <c r="T461" s="17"/>
    </row>
    <row r="462" customFormat="false" ht="15" hidden="false" customHeight="true" outlineLevel="0" collapsed="false">
      <c r="B462" s="17"/>
      <c r="E462" s="17"/>
      <c r="F462" s="17"/>
      <c r="G462" s="17"/>
      <c r="I462" s="17"/>
      <c r="M462" s="17"/>
      <c r="N462" s="17"/>
      <c r="O462" s="17"/>
      <c r="R462" s="17"/>
      <c r="S462" s="17"/>
      <c r="T462" s="17"/>
    </row>
    <row r="463" customFormat="false" ht="15" hidden="false" customHeight="true" outlineLevel="0" collapsed="false">
      <c r="B463" s="17"/>
      <c r="E463" s="17"/>
      <c r="F463" s="17"/>
      <c r="G463" s="17"/>
      <c r="I463" s="17"/>
      <c r="M463" s="17"/>
      <c r="N463" s="17"/>
      <c r="O463" s="17"/>
      <c r="R463" s="17"/>
      <c r="S463" s="17"/>
      <c r="T463" s="17"/>
    </row>
    <row r="464" customFormat="false" ht="15" hidden="false" customHeight="true" outlineLevel="0" collapsed="false">
      <c r="B464" s="17"/>
      <c r="E464" s="17"/>
      <c r="F464" s="17"/>
      <c r="G464" s="17"/>
      <c r="I464" s="17"/>
      <c r="M464" s="17"/>
      <c r="N464" s="17"/>
      <c r="O464" s="17"/>
      <c r="R464" s="17"/>
      <c r="S464" s="17"/>
      <c r="T464" s="17"/>
    </row>
    <row r="465" customFormat="false" ht="15" hidden="false" customHeight="true" outlineLevel="0" collapsed="false">
      <c r="B465" s="17"/>
      <c r="E465" s="17"/>
      <c r="F465" s="17"/>
      <c r="G465" s="17"/>
      <c r="I465" s="17"/>
      <c r="M465" s="17"/>
      <c r="N465" s="17"/>
      <c r="O465" s="17"/>
      <c r="R465" s="17"/>
      <c r="S465" s="17"/>
      <c r="T465" s="17"/>
    </row>
    <row r="466" customFormat="false" ht="15" hidden="false" customHeight="true" outlineLevel="0" collapsed="false">
      <c r="B466" s="17"/>
      <c r="E466" s="17"/>
      <c r="F466" s="17"/>
      <c r="G466" s="17"/>
      <c r="I466" s="17"/>
      <c r="M466" s="17"/>
      <c r="N466" s="17"/>
      <c r="O466" s="17"/>
      <c r="R466" s="17"/>
      <c r="S466" s="17"/>
      <c r="T466" s="17"/>
    </row>
    <row r="467" customFormat="false" ht="15" hidden="false" customHeight="true" outlineLevel="0" collapsed="false">
      <c r="B467" s="17"/>
      <c r="E467" s="17"/>
      <c r="F467" s="17"/>
      <c r="G467" s="17"/>
      <c r="I467" s="17"/>
      <c r="M467" s="17"/>
      <c r="N467" s="17"/>
      <c r="O467" s="17"/>
      <c r="R467" s="17"/>
      <c r="S467" s="17"/>
      <c r="T467" s="17"/>
    </row>
    <row r="468" customFormat="false" ht="15" hidden="false" customHeight="true" outlineLevel="0" collapsed="false">
      <c r="B468" s="17"/>
      <c r="E468" s="17"/>
      <c r="F468" s="17"/>
      <c r="G468" s="17"/>
      <c r="I468" s="17"/>
      <c r="M468" s="17"/>
      <c r="N468" s="17"/>
      <c r="O468" s="17"/>
      <c r="R468" s="17"/>
      <c r="S468" s="17"/>
      <c r="T468" s="17"/>
    </row>
    <row r="469" customFormat="false" ht="15" hidden="false" customHeight="true" outlineLevel="0" collapsed="false">
      <c r="B469" s="17"/>
      <c r="E469" s="17"/>
      <c r="F469" s="17"/>
      <c r="G469" s="17"/>
      <c r="I469" s="17"/>
      <c r="M469" s="17"/>
      <c r="N469" s="17"/>
      <c r="O469" s="17"/>
      <c r="R469" s="17"/>
      <c r="S469" s="17"/>
      <c r="T469" s="17"/>
    </row>
    <row r="470" customFormat="false" ht="15" hidden="false" customHeight="true" outlineLevel="0" collapsed="false">
      <c r="B470" s="17"/>
      <c r="E470" s="17"/>
      <c r="F470" s="17"/>
      <c r="G470" s="17"/>
      <c r="I470" s="17"/>
      <c r="M470" s="17"/>
      <c r="N470" s="17"/>
      <c r="O470" s="17"/>
      <c r="R470" s="17"/>
      <c r="S470" s="17"/>
      <c r="T470" s="17"/>
    </row>
    <row r="471" customFormat="false" ht="15" hidden="false" customHeight="true" outlineLevel="0" collapsed="false">
      <c r="B471" s="17"/>
      <c r="E471" s="17"/>
      <c r="F471" s="17"/>
      <c r="G471" s="17"/>
      <c r="I471" s="17"/>
      <c r="M471" s="17"/>
      <c r="N471" s="17"/>
      <c r="O471" s="17"/>
      <c r="R471" s="17"/>
      <c r="S471" s="17"/>
      <c r="T471" s="17"/>
    </row>
    <row r="472" customFormat="false" ht="15" hidden="false" customHeight="true" outlineLevel="0" collapsed="false">
      <c r="B472" s="17"/>
      <c r="E472" s="17"/>
      <c r="F472" s="17"/>
      <c r="G472" s="17"/>
      <c r="I472" s="17"/>
      <c r="M472" s="17"/>
      <c r="N472" s="17"/>
      <c r="O472" s="17"/>
      <c r="R472" s="17"/>
      <c r="S472" s="17"/>
      <c r="T472" s="17"/>
    </row>
    <row r="473" customFormat="false" ht="15" hidden="false" customHeight="true" outlineLevel="0" collapsed="false">
      <c r="B473" s="17"/>
      <c r="E473" s="17"/>
      <c r="F473" s="17"/>
      <c r="G473" s="17"/>
      <c r="I473" s="17"/>
      <c r="M473" s="17"/>
      <c r="N473" s="17"/>
      <c r="O473" s="17"/>
      <c r="R473" s="17"/>
      <c r="S473" s="17"/>
      <c r="T473" s="17"/>
    </row>
    <row r="474" customFormat="false" ht="15" hidden="false" customHeight="true" outlineLevel="0" collapsed="false">
      <c r="B474" s="17"/>
      <c r="E474" s="17"/>
      <c r="F474" s="17"/>
      <c r="G474" s="17"/>
      <c r="I474" s="17"/>
      <c r="M474" s="17"/>
      <c r="N474" s="17"/>
      <c r="O474" s="17"/>
      <c r="R474" s="17"/>
      <c r="S474" s="17"/>
      <c r="T474" s="17"/>
    </row>
    <row r="475" customFormat="false" ht="15" hidden="false" customHeight="true" outlineLevel="0" collapsed="false">
      <c r="B475" s="17"/>
      <c r="E475" s="17"/>
      <c r="F475" s="17"/>
      <c r="G475" s="17"/>
      <c r="I475" s="17"/>
      <c r="M475" s="17"/>
      <c r="N475" s="17"/>
      <c r="O475" s="17"/>
      <c r="R475" s="17"/>
      <c r="S475" s="17"/>
      <c r="T475" s="17"/>
    </row>
    <row r="476" customFormat="false" ht="15" hidden="false" customHeight="true" outlineLevel="0" collapsed="false">
      <c r="B476" s="17"/>
      <c r="E476" s="17"/>
      <c r="F476" s="17"/>
      <c r="G476" s="17"/>
      <c r="I476" s="17"/>
      <c r="M476" s="17"/>
      <c r="N476" s="17"/>
      <c r="O476" s="17"/>
      <c r="R476" s="17"/>
      <c r="S476" s="17"/>
      <c r="T476" s="17"/>
    </row>
    <row r="477" customFormat="false" ht="15" hidden="false" customHeight="true" outlineLevel="0" collapsed="false">
      <c r="B477" s="17"/>
      <c r="E477" s="17"/>
      <c r="F477" s="17"/>
      <c r="G477" s="17"/>
      <c r="I477" s="17"/>
      <c r="M477" s="17"/>
      <c r="N477" s="17"/>
      <c r="O477" s="17"/>
      <c r="R477" s="17"/>
      <c r="S477" s="17"/>
      <c r="T477" s="17"/>
    </row>
    <row r="478" customFormat="false" ht="15" hidden="false" customHeight="true" outlineLevel="0" collapsed="false">
      <c r="B478" s="17"/>
      <c r="E478" s="17"/>
      <c r="F478" s="17"/>
      <c r="G478" s="17"/>
      <c r="I478" s="17"/>
      <c r="M478" s="17"/>
      <c r="N478" s="17"/>
      <c r="O478" s="17"/>
      <c r="R478" s="17"/>
      <c r="S478" s="17"/>
      <c r="T478" s="17"/>
    </row>
    <row r="479" customFormat="false" ht="15" hidden="false" customHeight="true" outlineLevel="0" collapsed="false">
      <c r="B479" s="17"/>
      <c r="E479" s="17"/>
      <c r="F479" s="17"/>
      <c r="G479" s="17"/>
      <c r="I479" s="17"/>
      <c r="M479" s="17"/>
      <c r="N479" s="17"/>
      <c r="O479" s="17"/>
      <c r="R479" s="17"/>
      <c r="S479" s="17"/>
      <c r="T479" s="17"/>
    </row>
    <row r="480" customFormat="false" ht="15" hidden="false" customHeight="true" outlineLevel="0" collapsed="false">
      <c r="B480" s="17"/>
      <c r="E480" s="17"/>
      <c r="F480" s="17"/>
      <c r="G480" s="17"/>
      <c r="I480" s="17"/>
      <c r="M480" s="17"/>
      <c r="N480" s="17"/>
      <c r="O480" s="17"/>
      <c r="R480" s="17"/>
      <c r="S480" s="17"/>
      <c r="T480" s="17"/>
    </row>
    <row r="481" customFormat="false" ht="15" hidden="false" customHeight="true" outlineLevel="0" collapsed="false">
      <c r="B481" s="17"/>
      <c r="E481" s="17"/>
      <c r="F481" s="17"/>
      <c r="G481" s="17"/>
      <c r="I481" s="17"/>
      <c r="M481" s="17"/>
      <c r="N481" s="17"/>
      <c r="O481" s="17"/>
      <c r="R481" s="17"/>
      <c r="S481" s="17"/>
      <c r="T481" s="17"/>
    </row>
    <row r="482" customFormat="false" ht="15" hidden="false" customHeight="true" outlineLevel="0" collapsed="false">
      <c r="B482" s="17"/>
      <c r="E482" s="17"/>
      <c r="F482" s="17"/>
      <c r="G482" s="17"/>
      <c r="I482" s="17"/>
      <c r="M482" s="17"/>
      <c r="N482" s="17"/>
      <c r="O482" s="17"/>
      <c r="R482" s="17"/>
      <c r="S482" s="17"/>
      <c r="T482" s="17"/>
    </row>
    <row r="483" customFormat="false" ht="15" hidden="false" customHeight="true" outlineLevel="0" collapsed="false">
      <c r="B483" s="17"/>
      <c r="E483" s="17"/>
      <c r="F483" s="17"/>
      <c r="G483" s="17"/>
      <c r="I483" s="17"/>
      <c r="M483" s="17"/>
      <c r="N483" s="17"/>
      <c r="O483" s="17"/>
      <c r="R483" s="17"/>
      <c r="S483" s="17"/>
      <c r="T483" s="17"/>
    </row>
    <row r="484" customFormat="false" ht="15" hidden="false" customHeight="true" outlineLevel="0" collapsed="false">
      <c r="B484" s="17"/>
      <c r="E484" s="17"/>
      <c r="F484" s="17"/>
      <c r="G484" s="17"/>
      <c r="I484" s="17"/>
      <c r="M484" s="17"/>
      <c r="N484" s="17"/>
      <c r="O484" s="17"/>
      <c r="R484" s="17"/>
      <c r="S484" s="17"/>
      <c r="T484" s="17"/>
    </row>
    <row r="485" customFormat="false" ht="15" hidden="false" customHeight="true" outlineLevel="0" collapsed="false">
      <c r="B485" s="17"/>
      <c r="E485" s="17"/>
      <c r="F485" s="17"/>
      <c r="G485" s="17"/>
      <c r="I485" s="17"/>
      <c r="M485" s="17"/>
      <c r="N485" s="17"/>
      <c r="O485" s="17"/>
      <c r="R485" s="17"/>
      <c r="S485" s="17"/>
      <c r="T485" s="17"/>
    </row>
    <row r="486" customFormat="false" ht="15" hidden="false" customHeight="true" outlineLevel="0" collapsed="false">
      <c r="B486" s="17"/>
      <c r="E486" s="17"/>
      <c r="F486" s="17"/>
      <c r="G486" s="17"/>
      <c r="I486" s="17"/>
      <c r="M486" s="17"/>
      <c r="N486" s="17"/>
      <c r="O486" s="17"/>
      <c r="R486" s="17"/>
      <c r="S486" s="17"/>
      <c r="T486" s="17"/>
    </row>
    <row r="487" customFormat="false" ht="15" hidden="false" customHeight="true" outlineLevel="0" collapsed="false">
      <c r="B487" s="17"/>
      <c r="E487" s="17"/>
      <c r="F487" s="17"/>
      <c r="G487" s="17"/>
      <c r="I487" s="17"/>
      <c r="M487" s="17"/>
      <c r="N487" s="17"/>
      <c r="O487" s="17"/>
      <c r="R487" s="17"/>
      <c r="S487" s="17"/>
      <c r="T487" s="17"/>
    </row>
    <row r="488" customFormat="false" ht="15" hidden="false" customHeight="true" outlineLevel="0" collapsed="false">
      <c r="B488" s="17"/>
      <c r="E488" s="17"/>
      <c r="F488" s="17"/>
      <c r="G488" s="17"/>
      <c r="I488" s="17"/>
      <c r="M488" s="17"/>
      <c r="N488" s="17"/>
      <c r="O488" s="17"/>
      <c r="R488" s="17"/>
      <c r="S488" s="17"/>
      <c r="T488" s="17"/>
    </row>
    <row r="489" customFormat="false" ht="15" hidden="false" customHeight="true" outlineLevel="0" collapsed="false">
      <c r="B489" s="17"/>
      <c r="E489" s="17"/>
      <c r="F489" s="17"/>
      <c r="G489" s="17"/>
      <c r="I489" s="17"/>
      <c r="M489" s="17"/>
      <c r="N489" s="17"/>
      <c r="O489" s="17"/>
      <c r="R489" s="17"/>
      <c r="S489" s="17"/>
      <c r="T489" s="17"/>
    </row>
    <row r="490" customFormat="false" ht="15" hidden="false" customHeight="true" outlineLevel="0" collapsed="false">
      <c r="B490" s="17"/>
      <c r="E490" s="17"/>
      <c r="F490" s="17"/>
      <c r="G490" s="17"/>
      <c r="I490" s="17"/>
      <c r="M490" s="17"/>
      <c r="N490" s="17"/>
      <c r="O490" s="17"/>
      <c r="R490" s="17"/>
      <c r="S490" s="17"/>
      <c r="T490" s="17"/>
    </row>
    <row r="491" customFormat="false" ht="15" hidden="false" customHeight="true" outlineLevel="0" collapsed="false">
      <c r="B491" s="17"/>
      <c r="E491" s="17"/>
      <c r="F491" s="17"/>
      <c r="G491" s="17"/>
      <c r="I491" s="17"/>
      <c r="M491" s="17"/>
      <c r="N491" s="17"/>
      <c r="O491" s="17"/>
      <c r="R491" s="17"/>
      <c r="S491" s="17"/>
      <c r="T491" s="17"/>
    </row>
    <row r="492" customFormat="false" ht="15" hidden="false" customHeight="true" outlineLevel="0" collapsed="false">
      <c r="B492" s="17"/>
      <c r="E492" s="17"/>
      <c r="F492" s="17"/>
      <c r="G492" s="17"/>
      <c r="I492" s="17"/>
      <c r="M492" s="17"/>
      <c r="N492" s="17"/>
      <c r="O492" s="17"/>
      <c r="R492" s="17"/>
      <c r="S492" s="17"/>
      <c r="T492" s="17"/>
    </row>
    <row r="493" customFormat="false" ht="15" hidden="false" customHeight="true" outlineLevel="0" collapsed="false">
      <c r="B493" s="17"/>
      <c r="E493" s="17"/>
      <c r="F493" s="17"/>
      <c r="G493" s="17"/>
      <c r="I493" s="17"/>
      <c r="M493" s="17"/>
      <c r="N493" s="17"/>
      <c r="O493" s="17"/>
      <c r="R493" s="17"/>
      <c r="S493" s="17"/>
      <c r="T493" s="17"/>
    </row>
    <row r="494" customFormat="false" ht="15" hidden="false" customHeight="true" outlineLevel="0" collapsed="false">
      <c r="B494" s="17"/>
      <c r="E494" s="17"/>
      <c r="F494" s="17"/>
      <c r="G494" s="17"/>
      <c r="I494" s="17"/>
      <c r="M494" s="17"/>
      <c r="N494" s="17"/>
      <c r="O494" s="17"/>
      <c r="R494" s="17"/>
      <c r="S494" s="17"/>
      <c r="T494" s="17"/>
    </row>
    <row r="495" customFormat="false" ht="15" hidden="false" customHeight="true" outlineLevel="0" collapsed="false">
      <c r="B495" s="17"/>
      <c r="E495" s="17"/>
      <c r="F495" s="17"/>
      <c r="G495" s="17"/>
      <c r="I495" s="17"/>
      <c r="M495" s="17"/>
      <c r="N495" s="17"/>
      <c r="O495" s="17"/>
      <c r="R495" s="17"/>
      <c r="S495" s="17"/>
      <c r="T495" s="17"/>
    </row>
    <row r="496" customFormat="false" ht="15" hidden="false" customHeight="true" outlineLevel="0" collapsed="false">
      <c r="B496" s="17"/>
      <c r="E496" s="17"/>
      <c r="F496" s="17"/>
      <c r="G496" s="17"/>
      <c r="I496" s="17"/>
      <c r="M496" s="17"/>
      <c r="N496" s="17"/>
      <c r="O496" s="17"/>
      <c r="R496" s="17"/>
      <c r="S496" s="17"/>
      <c r="T496" s="17"/>
    </row>
    <row r="497" customFormat="false" ht="15" hidden="false" customHeight="true" outlineLevel="0" collapsed="false">
      <c r="B497" s="17"/>
      <c r="E497" s="17"/>
      <c r="F497" s="17"/>
      <c r="G497" s="17"/>
      <c r="I497" s="17"/>
      <c r="M497" s="17"/>
      <c r="N497" s="17"/>
      <c r="O497" s="17"/>
      <c r="R497" s="17"/>
      <c r="S497" s="17"/>
      <c r="T497" s="17"/>
    </row>
    <row r="498" customFormat="false" ht="15" hidden="false" customHeight="true" outlineLevel="0" collapsed="false">
      <c r="B498" s="17"/>
      <c r="E498" s="17"/>
      <c r="F498" s="17"/>
      <c r="G498" s="17"/>
      <c r="I498" s="17"/>
      <c r="M498" s="17"/>
      <c r="N498" s="17"/>
      <c r="O498" s="17"/>
      <c r="R498" s="17"/>
      <c r="S498" s="17"/>
      <c r="T498" s="17"/>
    </row>
    <row r="499" customFormat="false" ht="15" hidden="false" customHeight="true" outlineLevel="0" collapsed="false">
      <c r="B499" s="17"/>
      <c r="E499" s="17"/>
      <c r="F499" s="17"/>
      <c r="G499" s="17"/>
      <c r="I499" s="17"/>
      <c r="M499" s="17"/>
      <c r="N499" s="17"/>
      <c r="O499" s="17"/>
      <c r="R499" s="17"/>
      <c r="S499" s="17"/>
      <c r="T499" s="17"/>
    </row>
    <row r="500" customFormat="false" ht="15" hidden="false" customHeight="true" outlineLevel="0" collapsed="false">
      <c r="B500" s="17"/>
      <c r="E500" s="17"/>
      <c r="F500" s="17"/>
      <c r="G500" s="17"/>
      <c r="I500" s="17"/>
      <c r="M500" s="17"/>
      <c r="N500" s="17"/>
      <c r="O500" s="17"/>
      <c r="R500" s="17"/>
      <c r="S500" s="17"/>
      <c r="T500" s="17"/>
    </row>
    <row r="501" customFormat="false" ht="15" hidden="false" customHeight="true" outlineLevel="0" collapsed="false">
      <c r="B501" s="17"/>
      <c r="E501" s="17"/>
      <c r="F501" s="17"/>
      <c r="G501" s="17"/>
      <c r="I501" s="17"/>
      <c r="M501" s="17"/>
      <c r="N501" s="17"/>
      <c r="O501" s="17"/>
      <c r="R501" s="17"/>
      <c r="S501" s="17"/>
      <c r="T501" s="17"/>
    </row>
    <row r="502" customFormat="false" ht="15" hidden="false" customHeight="true" outlineLevel="0" collapsed="false">
      <c r="B502" s="17"/>
      <c r="E502" s="17"/>
      <c r="F502" s="17"/>
      <c r="G502" s="17"/>
      <c r="I502" s="17"/>
      <c r="M502" s="17"/>
      <c r="N502" s="17"/>
      <c r="O502" s="17"/>
      <c r="R502" s="17"/>
      <c r="S502" s="17"/>
      <c r="T502" s="17"/>
    </row>
    <row r="503" customFormat="false" ht="15" hidden="false" customHeight="true" outlineLevel="0" collapsed="false">
      <c r="B503" s="17"/>
      <c r="E503" s="17"/>
      <c r="F503" s="17"/>
      <c r="G503" s="17"/>
      <c r="I503" s="17"/>
      <c r="M503" s="17"/>
      <c r="N503" s="17"/>
      <c r="O503" s="17"/>
      <c r="R503" s="17"/>
      <c r="S503" s="17"/>
      <c r="T503" s="17"/>
    </row>
    <row r="504" customFormat="false" ht="15" hidden="false" customHeight="true" outlineLevel="0" collapsed="false">
      <c r="B504" s="17"/>
      <c r="E504" s="17"/>
      <c r="F504" s="17"/>
      <c r="G504" s="17"/>
      <c r="I504" s="17"/>
      <c r="M504" s="17"/>
      <c r="N504" s="17"/>
      <c r="O504" s="17"/>
      <c r="R504" s="17"/>
      <c r="S504" s="17"/>
      <c r="T504" s="17"/>
    </row>
    <row r="505" customFormat="false" ht="15" hidden="false" customHeight="true" outlineLevel="0" collapsed="false">
      <c r="B505" s="17"/>
      <c r="E505" s="17"/>
      <c r="F505" s="17"/>
      <c r="G505" s="17"/>
      <c r="I505" s="17"/>
      <c r="M505" s="17"/>
      <c r="N505" s="17"/>
      <c r="O505" s="17"/>
      <c r="R505" s="17"/>
      <c r="S505" s="17"/>
      <c r="T505" s="17"/>
    </row>
    <row r="506" customFormat="false" ht="15" hidden="false" customHeight="true" outlineLevel="0" collapsed="false">
      <c r="B506" s="17"/>
      <c r="E506" s="17"/>
      <c r="F506" s="17"/>
      <c r="G506" s="17"/>
      <c r="I506" s="17"/>
      <c r="M506" s="17"/>
      <c r="N506" s="17"/>
      <c r="O506" s="17"/>
      <c r="R506" s="17"/>
      <c r="S506" s="17"/>
      <c r="T506" s="17"/>
    </row>
    <row r="507" customFormat="false" ht="15" hidden="false" customHeight="true" outlineLevel="0" collapsed="false">
      <c r="B507" s="17"/>
      <c r="E507" s="17"/>
      <c r="F507" s="17"/>
      <c r="G507" s="17"/>
      <c r="I507" s="17"/>
      <c r="M507" s="17"/>
      <c r="N507" s="17"/>
      <c r="O507" s="17"/>
      <c r="R507" s="17"/>
      <c r="S507" s="17"/>
      <c r="T507" s="17"/>
    </row>
    <row r="508" customFormat="false" ht="15" hidden="false" customHeight="true" outlineLevel="0" collapsed="false">
      <c r="B508" s="17"/>
      <c r="E508" s="17"/>
      <c r="F508" s="17"/>
      <c r="G508" s="17"/>
      <c r="I508" s="17"/>
      <c r="M508" s="17"/>
      <c r="N508" s="17"/>
      <c r="O508" s="17"/>
      <c r="R508" s="17"/>
      <c r="S508" s="17"/>
      <c r="T508" s="17"/>
    </row>
    <row r="509" customFormat="false" ht="15" hidden="false" customHeight="true" outlineLevel="0" collapsed="false">
      <c r="B509" s="17"/>
      <c r="E509" s="17"/>
      <c r="F509" s="17"/>
      <c r="G509" s="17"/>
      <c r="I509" s="17"/>
      <c r="M509" s="17"/>
      <c r="N509" s="17"/>
      <c r="O509" s="17"/>
      <c r="R509" s="17"/>
      <c r="S509" s="17"/>
      <c r="T509" s="17"/>
    </row>
    <row r="510" customFormat="false" ht="15" hidden="false" customHeight="true" outlineLevel="0" collapsed="false">
      <c r="B510" s="17"/>
      <c r="E510" s="17"/>
      <c r="F510" s="17"/>
      <c r="G510" s="17"/>
      <c r="I510" s="17"/>
      <c r="M510" s="17"/>
      <c r="N510" s="17"/>
      <c r="O510" s="17"/>
      <c r="R510" s="17"/>
      <c r="S510" s="17"/>
      <c r="T510" s="17"/>
    </row>
    <row r="511" customFormat="false" ht="15" hidden="false" customHeight="true" outlineLevel="0" collapsed="false">
      <c r="B511" s="17"/>
      <c r="E511" s="17"/>
      <c r="F511" s="17"/>
      <c r="G511" s="17"/>
      <c r="I511" s="17"/>
      <c r="M511" s="17"/>
      <c r="N511" s="17"/>
      <c r="O511" s="17"/>
      <c r="R511" s="17"/>
      <c r="S511" s="17"/>
      <c r="T511" s="17"/>
    </row>
    <row r="512" customFormat="false" ht="15" hidden="false" customHeight="true" outlineLevel="0" collapsed="false">
      <c r="B512" s="17"/>
      <c r="E512" s="17"/>
      <c r="F512" s="17"/>
      <c r="G512" s="17"/>
      <c r="I512" s="17"/>
      <c r="M512" s="17"/>
      <c r="N512" s="17"/>
      <c r="O512" s="17"/>
      <c r="R512" s="17"/>
      <c r="S512" s="17"/>
      <c r="T512" s="17"/>
    </row>
    <row r="513" customFormat="false" ht="15" hidden="false" customHeight="true" outlineLevel="0" collapsed="false">
      <c r="B513" s="17"/>
      <c r="E513" s="17"/>
      <c r="F513" s="17"/>
      <c r="G513" s="17"/>
      <c r="I513" s="17"/>
      <c r="M513" s="17"/>
      <c r="N513" s="17"/>
      <c r="O513" s="17"/>
      <c r="R513" s="17"/>
      <c r="S513" s="17"/>
      <c r="T513" s="17"/>
    </row>
    <row r="514" customFormat="false" ht="15" hidden="false" customHeight="true" outlineLevel="0" collapsed="false">
      <c r="B514" s="17"/>
      <c r="E514" s="17"/>
      <c r="F514" s="17"/>
      <c r="G514" s="17"/>
      <c r="I514" s="17"/>
      <c r="M514" s="17"/>
      <c r="N514" s="17"/>
      <c r="O514" s="17"/>
      <c r="R514" s="17"/>
      <c r="S514" s="17"/>
      <c r="T514" s="17"/>
    </row>
    <row r="515" customFormat="false" ht="15" hidden="false" customHeight="true" outlineLevel="0" collapsed="false">
      <c r="B515" s="17"/>
      <c r="E515" s="17"/>
      <c r="F515" s="17"/>
      <c r="G515" s="17"/>
      <c r="I515" s="17"/>
      <c r="M515" s="17"/>
      <c r="N515" s="17"/>
      <c r="O515" s="17"/>
      <c r="R515" s="17"/>
      <c r="S515" s="17"/>
      <c r="T515" s="17"/>
    </row>
    <row r="516" customFormat="false" ht="15" hidden="false" customHeight="true" outlineLevel="0" collapsed="false">
      <c r="B516" s="17"/>
      <c r="E516" s="17"/>
      <c r="F516" s="17"/>
      <c r="G516" s="17"/>
      <c r="I516" s="17"/>
      <c r="M516" s="17"/>
      <c r="N516" s="17"/>
      <c r="O516" s="17"/>
      <c r="R516" s="17"/>
      <c r="S516" s="17"/>
      <c r="T516" s="17"/>
    </row>
    <row r="517" customFormat="false" ht="15" hidden="false" customHeight="true" outlineLevel="0" collapsed="false">
      <c r="B517" s="17"/>
      <c r="E517" s="17"/>
      <c r="F517" s="17"/>
      <c r="G517" s="17"/>
      <c r="I517" s="17"/>
      <c r="M517" s="17"/>
      <c r="N517" s="17"/>
      <c r="O517" s="17"/>
      <c r="R517" s="17"/>
      <c r="S517" s="17"/>
      <c r="T517" s="17"/>
    </row>
    <row r="518" customFormat="false" ht="15" hidden="false" customHeight="true" outlineLevel="0" collapsed="false">
      <c r="B518" s="17"/>
      <c r="E518" s="17"/>
      <c r="F518" s="17"/>
      <c r="G518" s="17"/>
      <c r="I518" s="17"/>
      <c r="M518" s="17"/>
      <c r="N518" s="17"/>
      <c r="O518" s="17"/>
      <c r="R518" s="17"/>
      <c r="S518" s="17"/>
      <c r="T518" s="17"/>
    </row>
    <row r="519" customFormat="false" ht="15" hidden="false" customHeight="true" outlineLevel="0" collapsed="false">
      <c r="B519" s="17"/>
      <c r="E519" s="17"/>
      <c r="F519" s="17"/>
      <c r="G519" s="17"/>
      <c r="I519" s="17"/>
      <c r="M519" s="17"/>
      <c r="N519" s="17"/>
      <c r="O519" s="17"/>
      <c r="R519" s="17"/>
      <c r="S519" s="17"/>
      <c r="T519" s="17"/>
    </row>
    <row r="520" customFormat="false" ht="15" hidden="false" customHeight="true" outlineLevel="0" collapsed="false">
      <c r="B520" s="17"/>
      <c r="E520" s="17"/>
      <c r="F520" s="17"/>
      <c r="G520" s="17"/>
      <c r="I520" s="17"/>
      <c r="M520" s="17"/>
      <c r="N520" s="17"/>
      <c r="O520" s="17"/>
      <c r="R520" s="17"/>
      <c r="S520" s="17"/>
      <c r="T520" s="17"/>
    </row>
    <row r="521" customFormat="false" ht="15" hidden="false" customHeight="true" outlineLevel="0" collapsed="false">
      <c r="B521" s="17"/>
      <c r="E521" s="17"/>
      <c r="F521" s="17"/>
      <c r="G521" s="17"/>
      <c r="I521" s="17"/>
      <c r="M521" s="17"/>
      <c r="N521" s="17"/>
      <c r="O521" s="17"/>
      <c r="R521" s="17"/>
      <c r="S521" s="17"/>
      <c r="T521" s="17"/>
    </row>
    <row r="522" customFormat="false" ht="15" hidden="false" customHeight="true" outlineLevel="0" collapsed="false">
      <c r="B522" s="17"/>
      <c r="E522" s="17"/>
      <c r="F522" s="17"/>
      <c r="G522" s="17"/>
      <c r="I522" s="17"/>
      <c r="M522" s="17"/>
      <c r="N522" s="17"/>
      <c r="O522" s="17"/>
      <c r="R522" s="17"/>
      <c r="S522" s="17"/>
      <c r="T522" s="17"/>
    </row>
    <row r="523" customFormat="false" ht="15" hidden="false" customHeight="true" outlineLevel="0" collapsed="false">
      <c r="B523" s="17"/>
      <c r="E523" s="17"/>
      <c r="F523" s="17"/>
      <c r="G523" s="17"/>
      <c r="I523" s="17"/>
      <c r="M523" s="17"/>
      <c r="N523" s="17"/>
      <c r="O523" s="17"/>
      <c r="R523" s="17"/>
      <c r="S523" s="17"/>
      <c r="T523" s="17"/>
    </row>
    <row r="524" customFormat="false" ht="15" hidden="false" customHeight="true" outlineLevel="0" collapsed="false">
      <c r="B524" s="17"/>
      <c r="E524" s="17"/>
      <c r="F524" s="17"/>
      <c r="G524" s="17"/>
      <c r="I524" s="17"/>
      <c r="M524" s="17"/>
      <c r="N524" s="17"/>
      <c r="O524" s="17"/>
      <c r="R524" s="17"/>
      <c r="S524" s="17"/>
      <c r="T524" s="17"/>
    </row>
    <row r="525" customFormat="false" ht="15" hidden="false" customHeight="true" outlineLevel="0" collapsed="false">
      <c r="B525" s="17"/>
      <c r="E525" s="17"/>
      <c r="F525" s="17"/>
      <c r="G525" s="17"/>
      <c r="I525" s="17"/>
      <c r="M525" s="17"/>
      <c r="N525" s="17"/>
      <c r="O525" s="17"/>
      <c r="R525" s="17"/>
      <c r="S525" s="17"/>
      <c r="T525" s="17"/>
    </row>
    <row r="526" customFormat="false" ht="15" hidden="false" customHeight="true" outlineLevel="0" collapsed="false">
      <c r="B526" s="17"/>
      <c r="E526" s="17"/>
      <c r="F526" s="17"/>
      <c r="G526" s="17"/>
      <c r="I526" s="17"/>
      <c r="M526" s="17"/>
      <c r="N526" s="17"/>
      <c r="O526" s="17"/>
      <c r="R526" s="17"/>
      <c r="S526" s="17"/>
      <c r="T526" s="17"/>
    </row>
    <row r="527" customFormat="false" ht="15" hidden="false" customHeight="true" outlineLevel="0" collapsed="false">
      <c r="B527" s="17"/>
      <c r="E527" s="17"/>
      <c r="F527" s="17"/>
      <c r="G527" s="17"/>
      <c r="I527" s="17"/>
      <c r="M527" s="17"/>
      <c r="N527" s="17"/>
      <c r="O527" s="17"/>
      <c r="R527" s="17"/>
      <c r="S527" s="17"/>
      <c r="T527" s="17"/>
    </row>
    <row r="528" customFormat="false" ht="15" hidden="false" customHeight="true" outlineLevel="0" collapsed="false">
      <c r="B528" s="17"/>
      <c r="E528" s="17"/>
      <c r="F528" s="17"/>
      <c r="G528" s="17"/>
      <c r="I528" s="17"/>
      <c r="M528" s="17"/>
      <c r="N528" s="17"/>
      <c r="O528" s="17"/>
      <c r="R528" s="17"/>
      <c r="S528" s="17"/>
      <c r="T528" s="17"/>
    </row>
    <row r="529" customFormat="false" ht="15" hidden="false" customHeight="true" outlineLevel="0" collapsed="false">
      <c r="B529" s="17"/>
      <c r="E529" s="17"/>
      <c r="F529" s="17"/>
      <c r="G529" s="17"/>
      <c r="I529" s="17"/>
      <c r="M529" s="17"/>
      <c r="N529" s="17"/>
      <c r="O529" s="17"/>
      <c r="R529" s="17"/>
      <c r="S529" s="17"/>
      <c r="T529" s="17"/>
    </row>
    <row r="530" customFormat="false" ht="15" hidden="false" customHeight="true" outlineLevel="0" collapsed="false">
      <c r="B530" s="17"/>
      <c r="E530" s="17"/>
      <c r="F530" s="17"/>
      <c r="G530" s="17"/>
      <c r="I530" s="17"/>
      <c r="M530" s="17"/>
      <c r="N530" s="17"/>
      <c r="O530" s="17"/>
      <c r="R530" s="17"/>
      <c r="S530" s="17"/>
      <c r="T530" s="17"/>
    </row>
    <row r="531" customFormat="false" ht="15" hidden="false" customHeight="true" outlineLevel="0" collapsed="false">
      <c r="B531" s="17"/>
      <c r="E531" s="17"/>
      <c r="F531" s="17"/>
      <c r="G531" s="17"/>
      <c r="I531" s="17"/>
      <c r="M531" s="17"/>
      <c r="N531" s="17"/>
      <c r="O531" s="17"/>
      <c r="R531" s="17"/>
      <c r="S531" s="17"/>
      <c r="T531" s="17"/>
    </row>
    <row r="532" customFormat="false" ht="15" hidden="false" customHeight="true" outlineLevel="0" collapsed="false">
      <c r="B532" s="17"/>
      <c r="E532" s="17"/>
      <c r="F532" s="17"/>
      <c r="G532" s="17"/>
      <c r="I532" s="17"/>
      <c r="M532" s="17"/>
      <c r="N532" s="17"/>
      <c r="O532" s="17"/>
      <c r="R532" s="17"/>
      <c r="S532" s="17"/>
      <c r="T532" s="17"/>
    </row>
    <row r="533" customFormat="false" ht="15" hidden="false" customHeight="true" outlineLevel="0" collapsed="false">
      <c r="B533" s="17"/>
      <c r="E533" s="17"/>
      <c r="F533" s="17"/>
      <c r="G533" s="17"/>
      <c r="I533" s="17"/>
      <c r="M533" s="17"/>
      <c r="N533" s="17"/>
      <c r="O533" s="17"/>
      <c r="R533" s="17"/>
      <c r="S533" s="17"/>
      <c r="T533" s="17"/>
    </row>
    <row r="534" customFormat="false" ht="15" hidden="false" customHeight="true" outlineLevel="0" collapsed="false">
      <c r="B534" s="17"/>
      <c r="E534" s="17"/>
      <c r="F534" s="17"/>
      <c r="G534" s="17"/>
      <c r="I534" s="17"/>
      <c r="M534" s="17"/>
      <c r="N534" s="17"/>
      <c r="O534" s="17"/>
      <c r="R534" s="17"/>
      <c r="S534" s="17"/>
      <c r="T534" s="17"/>
    </row>
    <row r="535" customFormat="false" ht="15" hidden="false" customHeight="true" outlineLevel="0" collapsed="false">
      <c r="B535" s="17"/>
      <c r="E535" s="17"/>
      <c r="F535" s="17"/>
      <c r="G535" s="17"/>
      <c r="I535" s="17"/>
      <c r="M535" s="17"/>
      <c r="N535" s="17"/>
      <c r="O535" s="17"/>
      <c r="R535" s="17"/>
      <c r="S535" s="17"/>
      <c r="T535" s="17"/>
    </row>
    <row r="536" customFormat="false" ht="15" hidden="false" customHeight="true" outlineLevel="0" collapsed="false">
      <c r="B536" s="17"/>
      <c r="E536" s="17"/>
      <c r="F536" s="17"/>
      <c r="G536" s="17"/>
      <c r="I536" s="17"/>
      <c r="M536" s="17"/>
      <c r="N536" s="17"/>
      <c r="O536" s="17"/>
      <c r="R536" s="17"/>
      <c r="S536" s="17"/>
      <c r="T536" s="17"/>
    </row>
    <row r="537" customFormat="false" ht="15" hidden="false" customHeight="true" outlineLevel="0" collapsed="false">
      <c r="B537" s="17"/>
      <c r="E537" s="17"/>
      <c r="F537" s="17"/>
      <c r="G537" s="17"/>
      <c r="I537" s="17"/>
      <c r="M537" s="17"/>
      <c r="N537" s="17"/>
      <c r="O537" s="17"/>
      <c r="R537" s="17"/>
      <c r="S537" s="17"/>
      <c r="T537" s="17"/>
    </row>
    <row r="538" customFormat="false" ht="15" hidden="false" customHeight="true" outlineLevel="0" collapsed="false">
      <c r="B538" s="17"/>
      <c r="E538" s="17"/>
      <c r="F538" s="17"/>
      <c r="G538" s="17"/>
      <c r="I538" s="17"/>
      <c r="M538" s="17"/>
      <c r="N538" s="17"/>
      <c r="O538" s="17"/>
      <c r="R538" s="17"/>
      <c r="S538" s="17"/>
      <c r="T538" s="17"/>
    </row>
    <row r="539" customFormat="false" ht="15" hidden="false" customHeight="true" outlineLevel="0" collapsed="false">
      <c r="B539" s="17"/>
      <c r="E539" s="17"/>
      <c r="F539" s="17"/>
      <c r="G539" s="17"/>
      <c r="I539" s="17"/>
      <c r="M539" s="17"/>
      <c r="N539" s="17"/>
      <c r="O539" s="17"/>
      <c r="R539" s="17"/>
      <c r="S539" s="17"/>
      <c r="T539" s="17"/>
    </row>
    <row r="540" customFormat="false" ht="15" hidden="false" customHeight="true" outlineLevel="0" collapsed="false">
      <c r="B540" s="17"/>
      <c r="E540" s="17"/>
      <c r="F540" s="17"/>
      <c r="G540" s="17"/>
      <c r="I540" s="17"/>
      <c r="M540" s="17"/>
      <c r="N540" s="17"/>
      <c r="O540" s="17"/>
      <c r="R540" s="17"/>
      <c r="S540" s="17"/>
      <c r="T540" s="17"/>
    </row>
    <row r="541" customFormat="false" ht="15" hidden="false" customHeight="true" outlineLevel="0" collapsed="false">
      <c r="B541" s="17"/>
      <c r="E541" s="17"/>
      <c r="F541" s="17"/>
      <c r="G541" s="17"/>
      <c r="I541" s="17"/>
      <c r="M541" s="17"/>
      <c r="N541" s="17"/>
      <c r="O541" s="17"/>
      <c r="R541" s="17"/>
      <c r="S541" s="17"/>
      <c r="T541" s="17"/>
    </row>
    <row r="542" customFormat="false" ht="15" hidden="false" customHeight="true" outlineLevel="0" collapsed="false">
      <c r="B542" s="17"/>
      <c r="E542" s="17"/>
      <c r="F542" s="17"/>
      <c r="G542" s="17"/>
      <c r="I542" s="17"/>
      <c r="M542" s="17"/>
      <c r="N542" s="17"/>
      <c r="O542" s="17"/>
      <c r="R542" s="17"/>
      <c r="S542" s="17"/>
      <c r="T542" s="17"/>
    </row>
    <row r="543" customFormat="false" ht="15" hidden="false" customHeight="true" outlineLevel="0" collapsed="false">
      <c r="B543" s="17"/>
      <c r="E543" s="17"/>
      <c r="F543" s="17"/>
      <c r="G543" s="17"/>
      <c r="I543" s="17"/>
      <c r="M543" s="17"/>
      <c r="N543" s="17"/>
      <c r="O543" s="17"/>
      <c r="R543" s="17"/>
      <c r="S543" s="17"/>
      <c r="T543" s="17"/>
    </row>
    <row r="544" customFormat="false" ht="15" hidden="false" customHeight="true" outlineLevel="0" collapsed="false">
      <c r="B544" s="17"/>
      <c r="E544" s="17"/>
      <c r="F544" s="17"/>
      <c r="G544" s="17"/>
      <c r="I544" s="17"/>
      <c r="M544" s="17"/>
      <c r="N544" s="17"/>
      <c r="O544" s="17"/>
      <c r="R544" s="17"/>
      <c r="S544" s="17"/>
      <c r="T544" s="17"/>
    </row>
    <row r="545" customFormat="false" ht="15" hidden="false" customHeight="true" outlineLevel="0" collapsed="false">
      <c r="B545" s="17"/>
      <c r="E545" s="17"/>
      <c r="F545" s="17"/>
      <c r="G545" s="17"/>
      <c r="I545" s="17"/>
      <c r="M545" s="17"/>
      <c r="N545" s="17"/>
      <c r="O545" s="17"/>
      <c r="R545" s="17"/>
      <c r="S545" s="17"/>
      <c r="T545" s="17"/>
    </row>
    <row r="546" customFormat="false" ht="15" hidden="false" customHeight="true" outlineLevel="0" collapsed="false">
      <c r="B546" s="17"/>
      <c r="E546" s="17"/>
      <c r="F546" s="17"/>
      <c r="G546" s="17"/>
      <c r="I546" s="17"/>
      <c r="M546" s="17"/>
      <c r="N546" s="17"/>
      <c r="O546" s="17"/>
      <c r="R546" s="17"/>
      <c r="S546" s="17"/>
      <c r="T546" s="17"/>
    </row>
    <row r="547" customFormat="false" ht="15" hidden="false" customHeight="true" outlineLevel="0" collapsed="false">
      <c r="B547" s="17"/>
      <c r="E547" s="17"/>
      <c r="F547" s="17"/>
      <c r="G547" s="17"/>
      <c r="I547" s="17"/>
      <c r="M547" s="17"/>
      <c r="N547" s="17"/>
      <c r="O547" s="17"/>
      <c r="R547" s="17"/>
      <c r="S547" s="17"/>
      <c r="T547" s="17"/>
    </row>
    <row r="548" customFormat="false" ht="15" hidden="false" customHeight="true" outlineLevel="0" collapsed="false">
      <c r="B548" s="17"/>
      <c r="E548" s="17"/>
      <c r="F548" s="17"/>
      <c r="G548" s="17"/>
      <c r="I548" s="17"/>
      <c r="M548" s="17"/>
      <c r="N548" s="17"/>
      <c r="O548" s="17"/>
      <c r="R548" s="17"/>
      <c r="S548" s="17"/>
      <c r="T548" s="17"/>
    </row>
    <row r="549" customFormat="false" ht="15" hidden="false" customHeight="true" outlineLevel="0" collapsed="false">
      <c r="B549" s="17"/>
      <c r="E549" s="17"/>
      <c r="F549" s="17"/>
      <c r="G549" s="17"/>
      <c r="I549" s="17"/>
      <c r="M549" s="17"/>
      <c r="N549" s="17"/>
      <c r="O549" s="17"/>
      <c r="R549" s="17"/>
      <c r="S549" s="17"/>
      <c r="T549" s="17"/>
    </row>
    <row r="550" customFormat="false" ht="15" hidden="false" customHeight="true" outlineLevel="0" collapsed="false">
      <c r="B550" s="17"/>
      <c r="E550" s="17"/>
      <c r="F550" s="17"/>
      <c r="G550" s="17"/>
      <c r="I550" s="17"/>
      <c r="M550" s="17"/>
      <c r="N550" s="17"/>
      <c r="O550" s="17"/>
      <c r="R550" s="17"/>
      <c r="S550" s="17"/>
      <c r="T550" s="17"/>
    </row>
    <row r="551" customFormat="false" ht="15" hidden="false" customHeight="true" outlineLevel="0" collapsed="false">
      <c r="B551" s="17"/>
      <c r="E551" s="17"/>
      <c r="F551" s="17"/>
      <c r="G551" s="17"/>
      <c r="I551" s="17"/>
      <c r="M551" s="17"/>
      <c r="N551" s="17"/>
      <c r="O551" s="17"/>
      <c r="R551" s="17"/>
      <c r="S551" s="17"/>
      <c r="T551" s="17"/>
    </row>
    <row r="552" customFormat="false" ht="15" hidden="false" customHeight="true" outlineLevel="0" collapsed="false">
      <c r="B552" s="17"/>
      <c r="E552" s="17"/>
      <c r="F552" s="17"/>
      <c r="G552" s="17"/>
      <c r="I552" s="17"/>
      <c r="M552" s="17"/>
      <c r="N552" s="17"/>
      <c r="O552" s="17"/>
      <c r="R552" s="17"/>
      <c r="S552" s="17"/>
      <c r="T552" s="17"/>
    </row>
    <row r="553" customFormat="false" ht="15" hidden="false" customHeight="true" outlineLevel="0" collapsed="false">
      <c r="B553" s="17"/>
      <c r="E553" s="17"/>
      <c r="F553" s="17"/>
      <c r="G553" s="17"/>
      <c r="I553" s="17"/>
      <c r="M553" s="17"/>
      <c r="N553" s="17"/>
      <c r="O553" s="17"/>
      <c r="R553" s="17"/>
      <c r="S553" s="17"/>
      <c r="T553" s="17"/>
    </row>
    <row r="554" customFormat="false" ht="15" hidden="false" customHeight="true" outlineLevel="0" collapsed="false">
      <c r="B554" s="17"/>
      <c r="E554" s="17"/>
      <c r="F554" s="17"/>
      <c r="G554" s="17"/>
      <c r="I554" s="17"/>
      <c r="M554" s="17"/>
      <c r="N554" s="17"/>
      <c r="O554" s="17"/>
      <c r="R554" s="17"/>
      <c r="S554" s="17"/>
      <c r="T554" s="17"/>
    </row>
    <row r="555" customFormat="false" ht="15" hidden="false" customHeight="true" outlineLevel="0" collapsed="false">
      <c r="B555" s="17"/>
      <c r="E555" s="17"/>
      <c r="F555" s="17"/>
      <c r="G555" s="17"/>
      <c r="I555" s="17"/>
      <c r="M555" s="17"/>
      <c r="N555" s="17"/>
      <c r="O555" s="17"/>
      <c r="R555" s="17"/>
      <c r="S555" s="17"/>
      <c r="T555" s="17"/>
    </row>
    <row r="556" customFormat="false" ht="15" hidden="false" customHeight="true" outlineLevel="0" collapsed="false">
      <c r="B556" s="17"/>
      <c r="E556" s="17"/>
      <c r="F556" s="17"/>
      <c r="G556" s="17"/>
      <c r="I556" s="17"/>
      <c r="M556" s="17"/>
      <c r="N556" s="17"/>
      <c r="O556" s="17"/>
      <c r="R556" s="17"/>
      <c r="S556" s="17"/>
      <c r="T556" s="17"/>
    </row>
    <row r="557" customFormat="false" ht="15" hidden="false" customHeight="true" outlineLevel="0" collapsed="false">
      <c r="B557" s="17"/>
      <c r="E557" s="17"/>
      <c r="F557" s="17"/>
      <c r="G557" s="17"/>
      <c r="I557" s="17"/>
      <c r="M557" s="17"/>
      <c r="N557" s="17"/>
      <c r="O557" s="17"/>
      <c r="R557" s="17"/>
      <c r="S557" s="17"/>
      <c r="T557" s="17"/>
    </row>
    <row r="558" customFormat="false" ht="15" hidden="false" customHeight="true" outlineLevel="0" collapsed="false">
      <c r="B558" s="17"/>
      <c r="E558" s="17"/>
      <c r="F558" s="17"/>
      <c r="G558" s="17"/>
      <c r="I558" s="17"/>
      <c r="M558" s="17"/>
      <c r="N558" s="17"/>
      <c r="O558" s="17"/>
      <c r="R558" s="17"/>
      <c r="S558" s="17"/>
      <c r="T558" s="17"/>
    </row>
    <row r="559" customFormat="false" ht="15" hidden="false" customHeight="true" outlineLevel="0" collapsed="false">
      <c r="B559" s="17"/>
      <c r="E559" s="17"/>
      <c r="F559" s="17"/>
      <c r="G559" s="17"/>
      <c r="I559" s="17"/>
      <c r="M559" s="17"/>
      <c r="N559" s="17"/>
      <c r="O559" s="17"/>
      <c r="R559" s="17"/>
      <c r="S559" s="17"/>
      <c r="T559" s="17"/>
    </row>
    <row r="560" customFormat="false" ht="15" hidden="false" customHeight="true" outlineLevel="0" collapsed="false">
      <c r="B560" s="17"/>
      <c r="E560" s="17"/>
      <c r="F560" s="17"/>
      <c r="G560" s="17"/>
      <c r="I560" s="17"/>
      <c r="M560" s="17"/>
      <c r="N560" s="17"/>
      <c r="O560" s="17"/>
      <c r="R560" s="17"/>
      <c r="S560" s="17"/>
      <c r="T560" s="17"/>
    </row>
    <row r="561" customFormat="false" ht="15" hidden="false" customHeight="true" outlineLevel="0" collapsed="false">
      <c r="B561" s="17"/>
      <c r="E561" s="17"/>
      <c r="F561" s="17"/>
      <c r="G561" s="17"/>
      <c r="I561" s="17"/>
      <c r="M561" s="17"/>
      <c r="N561" s="17"/>
      <c r="O561" s="17"/>
      <c r="R561" s="17"/>
      <c r="S561" s="17"/>
      <c r="T561" s="17"/>
    </row>
    <row r="562" customFormat="false" ht="15" hidden="false" customHeight="true" outlineLevel="0" collapsed="false">
      <c r="B562" s="17"/>
      <c r="E562" s="17"/>
      <c r="F562" s="17"/>
      <c r="G562" s="17"/>
      <c r="I562" s="17"/>
      <c r="M562" s="17"/>
      <c r="N562" s="17"/>
      <c r="O562" s="17"/>
      <c r="R562" s="17"/>
      <c r="S562" s="17"/>
      <c r="T562" s="17"/>
    </row>
    <row r="563" customFormat="false" ht="15" hidden="false" customHeight="true" outlineLevel="0" collapsed="false">
      <c r="B563" s="17"/>
      <c r="E563" s="17"/>
      <c r="F563" s="17"/>
      <c r="G563" s="17"/>
      <c r="I563" s="17"/>
      <c r="M563" s="17"/>
      <c r="N563" s="17"/>
      <c r="O563" s="17"/>
      <c r="R563" s="17"/>
      <c r="S563" s="17"/>
      <c r="T563" s="17"/>
    </row>
    <row r="564" customFormat="false" ht="15" hidden="false" customHeight="true" outlineLevel="0" collapsed="false">
      <c r="B564" s="17"/>
      <c r="E564" s="17"/>
      <c r="F564" s="17"/>
      <c r="G564" s="17"/>
      <c r="I564" s="17"/>
      <c r="M564" s="17"/>
      <c r="N564" s="17"/>
      <c r="O564" s="17"/>
      <c r="R564" s="17"/>
      <c r="S564" s="17"/>
      <c r="T564" s="17"/>
    </row>
    <row r="565" customFormat="false" ht="15" hidden="false" customHeight="true" outlineLevel="0" collapsed="false">
      <c r="B565" s="17"/>
      <c r="E565" s="17"/>
      <c r="F565" s="17"/>
      <c r="G565" s="17"/>
      <c r="I565" s="17"/>
      <c r="M565" s="17"/>
      <c r="N565" s="17"/>
      <c r="O565" s="17"/>
      <c r="R565" s="17"/>
      <c r="S565" s="17"/>
      <c r="T565" s="17"/>
    </row>
    <row r="566" customFormat="false" ht="15" hidden="false" customHeight="true" outlineLevel="0" collapsed="false">
      <c r="B566" s="17"/>
      <c r="E566" s="17"/>
      <c r="F566" s="17"/>
      <c r="G566" s="17"/>
      <c r="I566" s="17"/>
      <c r="M566" s="17"/>
      <c r="N566" s="17"/>
      <c r="O566" s="17"/>
      <c r="R566" s="17"/>
      <c r="S566" s="17"/>
      <c r="T566" s="17"/>
    </row>
    <row r="567" customFormat="false" ht="15" hidden="false" customHeight="true" outlineLevel="0" collapsed="false">
      <c r="B567" s="17"/>
      <c r="E567" s="17"/>
      <c r="F567" s="17"/>
      <c r="G567" s="17"/>
      <c r="I567" s="17"/>
      <c r="M567" s="17"/>
      <c r="N567" s="17"/>
      <c r="O567" s="17"/>
      <c r="R567" s="17"/>
      <c r="S567" s="17"/>
      <c r="T567" s="17"/>
    </row>
    <row r="568" customFormat="false" ht="15" hidden="false" customHeight="true" outlineLevel="0" collapsed="false">
      <c r="B568" s="17"/>
      <c r="E568" s="17"/>
      <c r="F568" s="17"/>
      <c r="G568" s="17"/>
      <c r="I568" s="17"/>
      <c r="M568" s="17"/>
      <c r="N568" s="17"/>
      <c r="O568" s="17"/>
      <c r="R568" s="17"/>
      <c r="S568" s="17"/>
      <c r="T568" s="17"/>
    </row>
    <row r="569" customFormat="false" ht="15" hidden="false" customHeight="true" outlineLevel="0" collapsed="false">
      <c r="B569" s="17"/>
      <c r="E569" s="17"/>
      <c r="F569" s="17"/>
      <c r="G569" s="17"/>
      <c r="I569" s="17"/>
      <c r="M569" s="17"/>
      <c r="N569" s="17"/>
      <c r="O569" s="17"/>
      <c r="R569" s="17"/>
      <c r="S569" s="17"/>
      <c r="T569" s="17"/>
    </row>
    <row r="570" customFormat="false" ht="15" hidden="false" customHeight="true" outlineLevel="0" collapsed="false">
      <c r="B570" s="17"/>
      <c r="E570" s="17"/>
      <c r="F570" s="17"/>
      <c r="G570" s="17"/>
      <c r="I570" s="17"/>
      <c r="M570" s="17"/>
      <c r="N570" s="17"/>
      <c r="O570" s="17"/>
      <c r="R570" s="17"/>
      <c r="S570" s="17"/>
      <c r="T570" s="17"/>
    </row>
    <row r="571" customFormat="false" ht="15" hidden="false" customHeight="true" outlineLevel="0" collapsed="false">
      <c r="B571" s="17"/>
      <c r="E571" s="17"/>
      <c r="F571" s="17"/>
      <c r="G571" s="17"/>
      <c r="I571" s="17"/>
      <c r="M571" s="17"/>
      <c r="N571" s="17"/>
      <c r="O571" s="17"/>
      <c r="R571" s="17"/>
      <c r="S571" s="17"/>
      <c r="T571" s="17"/>
    </row>
    <row r="572" customFormat="false" ht="15" hidden="false" customHeight="true" outlineLevel="0" collapsed="false">
      <c r="B572" s="17"/>
      <c r="E572" s="17"/>
      <c r="F572" s="17"/>
      <c r="G572" s="17"/>
      <c r="I572" s="17"/>
      <c r="M572" s="17"/>
      <c r="N572" s="17"/>
      <c r="O572" s="17"/>
      <c r="R572" s="17"/>
      <c r="S572" s="17"/>
      <c r="T572" s="17"/>
    </row>
    <row r="573" customFormat="false" ht="15" hidden="false" customHeight="true" outlineLevel="0" collapsed="false">
      <c r="B573" s="17"/>
      <c r="E573" s="17"/>
      <c r="F573" s="17"/>
      <c r="G573" s="17"/>
      <c r="I573" s="17"/>
      <c r="M573" s="17"/>
      <c r="N573" s="17"/>
      <c r="O573" s="17"/>
      <c r="R573" s="17"/>
      <c r="S573" s="17"/>
      <c r="T573" s="17"/>
    </row>
    <row r="574" customFormat="false" ht="15" hidden="false" customHeight="true" outlineLevel="0" collapsed="false">
      <c r="B574" s="17"/>
      <c r="E574" s="17"/>
      <c r="F574" s="17"/>
      <c r="G574" s="17"/>
      <c r="I574" s="17"/>
      <c r="M574" s="17"/>
      <c r="N574" s="17"/>
      <c r="O574" s="17"/>
      <c r="R574" s="17"/>
      <c r="S574" s="17"/>
      <c r="T574" s="17"/>
    </row>
    <row r="575" customFormat="false" ht="15" hidden="false" customHeight="true" outlineLevel="0" collapsed="false">
      <c r="B575" s="17"/>
      <c r="E575" s="17"/>
      <c r="F575" s="17"/>
      <c r="G575" s="17"/>
      <c r="I575" s="17"/>
      <c r="M575" s="17"/>
      <c r="N575" s="17"/>
      <c r="O575" s="17"/>
      <c r="R575" s="17"/>
      <c r="S575" s="17"/>
      <c r="T575" s="17"/>
    </row>
    <row r="576" customFormat="false" ht="15" hidden="false" customHeight="true" outlineLevel="0" collapsed="false">
      <c r="B576" s="17"/>
      <c r="E576" s="17"/>
      <c r="F576" s="17"/>
      <c r="G576" s="17"/>
      <c r="I576" s="17"/>
      <c r="M576" s="17"/>
      <c r="N576" s="17"/>
      <c r="O576" s="17"/>
      <c r="R576" s="17"/>
      <c r="S576" s="17"/>
      <c r="T576" s="17"/>
    </row>
    <row r="577" customFormat="false" ht="15" hidden="false" customHeight="true" outlineLevel="0" collapsed="false">
      <c r="B577" s="17"/>
      <c r="E577" s="17"/>
      <c r="F577" s="17"/>
      <c r="G577" s="17"/>
      <c r="I577" s="17"/>
      <c r="M577" s="17"/>
      <c r="N577" s="17"/>
      <c r="O577" s="17"/>
      <c r="R577" s="17"/>
      <c r="S577" s="17"/>
      <c r="T577" s="17"/>
    </row>
    <row r="578" customFormat="false" ht="15" hidden="false" customHeight="true" outlineLevel="0" collapsed="false">
      <c r="B578" s="17"/>
      <c r="E578" s="17"/>
      <c r="F578" s="17"/>
      <c r="G578" s="17"/>
      <c r="I578" s="17"/>
      <c r="M578" s="17"/>
      <c r="N578" s="17"/>
      <c r="O578" s="17"/>
      <c r="R578" s="17"/>
      <c r="S578" s="17"/>
      <c r="T578" s="17"/>
    </row>
    <row r="579" customFormat="false" ht="15" hidden="false" customHeight="true" outlineLevel="0" collapsed="false">
      <c r="B579" s="17"/>
      <c r="E579" s="17"/>
      <c r="F579" s="17"/>
      <c r="G579" s="17"/>
      <c r="I579" s="17"/>
      <c r="M579" s="17"/>
      <c r="N579" s="17"/>
      <c r="O579" s="17"/>
      <c r="R579" s="17"/>
      <c r="S579" s="17"/>
      <c r="T579" s="17"/>
    </row>
    <row r="580" customFormat="false" ht="15" hidden="false" customHeight="true" outlineLevel="0" collapsed="false">
      <c r="B580" s="17"/>
      <c r="E580" s="17"/>
      <c r="F580" s="17"/>
      <c r="G580" s="17"/>
      <c r="I580" s="17"/>
      <c r="M580" s="17"/>
      <c r="N580" s="17"/>
      <c r="O580" s="17"/>
      <c r="R580" s="17"/>
      <c r="S580" s="17"/>
      <c r="T580" s="17"/>
    </row>
    <row r="581" customFormat="false" ht="15" hidden="false" customHeight="true" outlineLevel="0" collapsed="false">
      <c r="B581" s="17"/>
      <c r="E581" s="17"/>
      <c r="F581" s="17"/>
      <c r="G581" s="17"/>
      <c r="I581" s="17"/>
      <c r="M581" s="17"/>
      <c r="N581" s="17"/>
      <c r="O581" s="17"/>
      <c r="R581" s="17"/>
      <c r="S581" s="17"/>
      <c r="T581" s="17"/>
    </row>
    <row r="582" customFormat="false" ht="15" hidden="false" customHeight="true" outlineLevel="0" collapsed="false">
      <c r="B582" s="17"/>
      <c r="E582" s="17"/>
      <c r="F582" s="17"/>
      <c r="G582" s="17"/>
      <c r="I582" s="17"/>
      <c r="M582" s="17"/>
      <c r="N582" s="17"/>
      <c r="O582" s="17"/>
      <c r="R582" s="17"/>
      <c r="S582" s="17"/>
      <c r="T582" s="17"/>
    </row>
    <row r="583" customFormat="false" ht="15" hidden="false" customHeight="true" outlineLevel="0" collapsed="false">
      <c r="B583" s="17"/>
      <c r="E583" s="17"/>
      <c r="F583" s="17"/>
      <c r="G583" s="17"/>
      <c r="I583" s="17"/>
      <c r="M583" s="17"/>
      <c r="N583" s="17"/>
      <c r="O583" s="17"/>
      <c r="R583" s="17"/>
      <c r="S583" s="17"/>
      <c r="T583" s="17"/>
    </row>
    <row r="584" customFormat="false" ht="15" hidden="false" customHeight="true" outlineLevel="0" collapsed="false">
      <c r="B584" s="17"/>
      <c r="E584" s="17"/>
      <c r="F584" s="17"/>
      <c r="G584" s="17"/>
      <c r="I584" s="17"/>
      <c r="M584" s="17"/>
      <c r="N584" s="17"/>
      <c r="O584" s="17"/>
      <c r="R584" s="17"/>
      <c r="S584" s="17"/>
      <c r="T584" s="17"/>
    </row>
    <row r="585" customFormat="false" ht="15" hidden="false" customHeight="true" outlineLevel="0" collapsed="false">
      <c r="B585" s="17"/>
      <c r="E585" s="17"/>
      <c r="F585" s="17"/>
      <c r="G585" s="17"/>
      <c r="I585" s="17"/>
      <c r="M585" s="17"/>
      <c r="N585" s="17"/>
      <c r="O585" s="17"/>
      <c r="R585" s="17"/>
      <c r="S585" s="17"/>
      <c r="T585" s="17"/>
    </row>
    <row r="586" customFormat="false" ht="15" hidden="false" customHeight="true" outlineLevel="0" collapsed="false">
      <c r="B586" s="17"/>
      <c r="E586" s="17"/>
      <c r="F586" s="17"/>
      <c r="G586" s="17"/>
      <c r="I586" s="17"/>
      <c r="M586" s="17"/>
      <c r="N586" s="17"/>
      <c r="O586" s="17"/>
      <c r="R586" s="17"/>
      <c r="S586" s="17"/>
      <c r="T586" s="17"/>
    </row>
    <row r="587" customFormat="false" ht="15" hidden="false" customHeight="true" outlineLevel="0" collapsed="false">
      <c r="B587" s="17"/>
      <c r="E587" s="17"/>
      <c r="F587" s="17"/>
      <c r="G587" s="17"/>
      <c r="I587" s="17"/>
      <c r="M587" s="17"/>
      <c r="N587" s="17"/>
      <c r="O587" s="17"/>
      <c r="R587" s="17"/>
      <c r="S587" s="17"/>
      <c r="T587" s="17"/>
    </row>
    <row r="588" customFormat="false" ht="15" hidden="false" customHeight="true" outlineLevel="0" collapsed="false">
      <c r="B588" s="17"/>
      <c r="E588" s="17"/>
      <c r="F588" s="17"/>
      <c r="G588" s="17"/>
      <c r="I588" s="17"/>
      <c r="M588" s="17"/>
      <c r="N588" s="17"/>
      <c r="O588" s="17"/>
      <c r="R588" s="17"/>
      <c r="S588" s="17"/>
      <c r="T588" s="17"/>
    </row>
    <row r="589" customFormat="false" ht="15" hidden="false" customHeight="true" outlineLevel="0" collapsed="false">
      <c r="B589" s="17"/>
      <c r="E589" s="17"/>
      <c r="F589" s="17"/>
      <c r="G589" s="17"/>
      <c r="I589" s="17"/>
      <c r="M589" s="17"/>
      <c r="N589" s="17"/>
      <c r="O589" s="17"/>
      <c r="R589" s="17"/>
      <c r="S589" s="17"/>
      <c r="T589" s="17"/>
    </row>
    <row r="590" customFormat="false" ht="15" hidden="false" customHeight="true" outlineLevel="0" collapsed="false">
      <c r="B590" s="17"/>
      <c r="E590" s="17"/>
      <c r="F590" s="17"/>
      <c r="G590" s="17"/>
      <c r="I590" s="17"/>
      <c r="M590" s="17"/>
      <c r="N590" s="17"/>
      <c r="O590" s="17"/>
      <c r="R590" s="17"/>
      <c r="S590" s="17"/>
      <c r="T590" s="17"/>
    </row>
    <row r="591" customFormat="false" ht="15" hidden="false" customHeight="true" outlineLevel="0" collapsed="false">
      <c r="B591" s="17"/>
      <c r="E591" s="17"/>
      <c r="F591" s="17"/>
      <c r="G591" s="17"/>
      <c r="I591" s="17"/>
      <c r="M591" s="17"/>
      <c r="N591" s="17"/>
      <c r="O591" s="17"/>
      <c r="R591" s="17"/>
      <c r="S591" s="17"/>
      <c r="T591" s="17"/>
    </row>
    <row r="592" customFormat="false" ht="15" hidden="false" customHeight="true" outlineLevel="0" collapsed="false">
      <c r="B592" s="17"/>
      <c r="E592" s="17"/>
      <c r="F592" s="17"/>
      <c r="G592" s="17"/>
      <c r="I592" s="17"/>
      <c r="M592" s="17"/>
      <c r="N592" s="17"/>
      <c r="O592" s="17"/>
      <c r="R592" s="17"/>
      <c r="S592" s="17"/>
      <c r="T592" s="17"/>
    </row>
    <row r="593" customFormat="false" ht="15" hidden="false" customHeight="true" outlineLevel="0" collapsed="false">
      <c r="B593" s="17"/>
      <c r="E593" s="17"/>
      <c r="F593" s="17"/>
      <c r="G593" s="17"/>
      <c r="I593" s="17"/>
      <c r="M593" s="17"/>
      <c r="N593" s="17"/>
      <c r="O593" s="17"/>
      <c r="R593" s="17"/>
      <c r="S593" s="17"/>
      <c r="T593" s="17"/>
    </row>
    <row r="594" customFormat="false" ht="15" hidden="false" customHeight="true" outlineLevel="0" collapsed="false">
      <c r="B594" s="17"/>
      <c r="E594" s="17"/>
      <c r="F594" s="17"/>
      <c r="G594" s="17"/>
      <c r="I594" s="17"/>
      <c r="M594" s="17"/>
      <c r="N594" s="17"/>
      <c r="O594" s="17"/>
      <c r="R594" s="17"/>
      <c r="S594" s="17"/>
      <c r="T594" s="17"/>
    </row>
    <row r="595" customFormat="false" ht="15" hidden="false" customHeight="true" outlineLevel="0" collapsed="false">
      <c r="B595" s="17"/>
      <c r="E595" s="17"/>
      <c r="F595" s="17"/>
      <c r="G595" s="17"/>
      <c r="I595" s="17"/>
      <c r="M595" s="17"/>
      <c r="N595" s="17"/>
      <c r="O595" s="17"/>
      <c r="R595" s="17"/>
      <c r="S595" s="17"/>
      <c r="T595" s="17"/>
    </row>
    <row r="596" customFormat="false" ht="15" hidden="false" customHeight="true" outlineLevel="0" collapsed="false">
      <c r="B596" s="17"/>
      <c r="E596" s="17"/>
      <c r="F596" s="17"/>
      <c r="G596" s="17"/>
      <c r="I596" s="17"/>
      <c r="M596" s="17"/>
      <c r="N596" s="17"/>
      <c r="O596" s="17"/>
      <c r="R596" s="17"/>
      <c r="S596" s="17"/>
      <c r="T596" s="17"/>
    </row>
    <row r="597" customFormat="false" ht="15" hidden="false" customHeight="true" outlineLevel="0" collapsed="false">
      <c r="B597" s="17"/>
      <c r="E597" s="17"/>
      <c r="F597" s="17"/>
      <c r="G597" s="17"/>
      <c r="I597" s="17"/>
      <c r="M597" s="17"/>
      <c r="N597" s="17"/>
      <c r="O597" s="17"/>
      <c r="R597" s="17"/>
      <c r="S597" s="17"/>
      <c r="T597" s="17"/>
    </row>
    <row r="598" customFormat="false" ht="15" hidden="false" customHeight="true" outlineLevel="0" collapsed="false">
      <c r="B598" s="17"/>
      <c r="E598" s="17"/>
      <c r="F598" s="17"/>
      <c r="G598" s="17"/>
      <c r="I598" s="17"/>
      <c r="M598" s="17"/>
      <c r="N598" s="17"/>
      <c r="O598" s="17"/>
      <c r="R598" s="17"/>
      <c r="S598" s="17"/>
      <c r="T598" s="17"/>
    </row>
    <row r="599" customFormat="false" ht="15" hidden="false" customHeight="true" outlineLevel="0" collapsed="false">
      <c r="B599" s="17"/>
      <c r="E599" s="17"/>
      <c r="F599" s="17"/>
      <c r="G599" s="17"/>
      <c r="I599" s="17"/>
      <c r="M599" s="17"/>
      <c r="N599" s="17"/>
      <c r="O599" s="17"/>
      <c r="R599" s="17"/>
      <c r="S599" s="17"/>
      <c r="T599" s="17"/>
    </row>
    <row r="600" customFormat="false" ht="15" hidden="false" customHeight="true" outlineLevel="0" collapsed="false">
      <c r="B600" s="17"/>
      <c r="E600" s="17"/>
      <c r="F600" s="17"/>
      <c r="G600" s="17"/>
      <c r="I600" s="17"/>
      <c r="M600" s="17"/>
      <c r="N600" s="17"/>
      <c r="O600" s="17"/>
      <c r="R600" s="17"/>
      <c r="S600" s="17"/>
      <c r="T600" s="17"/>
    </row>
    <row r="601" customFormat="false" ht="15" hidden="false" customHeight="true" outlineLevel="0" collapsed="false">
      <c r="B601" s="17"/>
      <c r="E601" s="17"/>
      <c r="F601" s="17"/>
      <c r="G601" s="17"/>
      <c r="I601" s="17"/>
      <c r="M601" s="17"/>
      <c r="N601" s="17"/>
      <c r="O601" s="17"/>
      <c r="R601" s="17"/>
      <c r="S601" s="17"/>
      <c r="T601" s="17"/>
    </row>
    <row r="602" customFormat="false" ht="15" hidden="false" customHeight="true" outlineLevel="0" collapsed="false">
      <c r="B602" s="17"/>
      <c r="E602" s="17"/>
      <c r="F602" s="17"/>
      <c r="G602" s="17"/>
      <c r="I602" s="17"/>
      <c r="M602" s="17"/>
      <c r="N602" s="17"/>
      <c r="O602" s="17"/>
      <c r="R602" s="17"/>
      <c r="S602" s="17"/>
      <c r="T602" s="17"/>
    </row>
    <row r="603" customFormat="false" ht="15" hidden="false" customHeight="true" outlineLevel="0" collapsed="false">
      <c r="B603" s="17"/>
      <c r="E603" s="17"/>
      <c r="F603" s="17"/>
      <c r="G603" s="17"/>
      <c r="I603" s="17"/>
      <c r="M603" s="17"/>
      <c r="N603" s="17"/>
      <c r="O603" s="17"/>
      <c r="R603" s="17"/>
      <c r="S603" s="17"/>
      <c r="T603" s="17"/>
    </row>
    <row r="604" customFormat="false" ht="15" hidden="false" customHeight="true" outlineLevel="0" collapsed="false">
      <c r="B604" s="17"/>
      <c r="E604" s="17"/>
      <c r="F604" s="17"/>
      <c r="G604" s="17"/>
      <c r="I604" s="17"/>
      <c r="M604" s="17"/>
      <c r="N604" s="17"/>
      <c r="O604" s="17"/>
      <c r="R604" s="17"/>
      <c r="S604" s="17"/>
      <c r="T604" s="17"/>
    </row>
    <row r="605" customFormat="false" ht="15" hidden="false" customHeight="true" outlineLevel="0" collapsed="false">
      <c r="B605" s="17"/>
      <c r="E605" s="17"/>
      <c r="F605" s="17"/>
      <c r="G605" s="17"/>
      <c r="I605" s="17"/>
      <c r="M605" s="17"/>
      <c r="N605" s="17"/>
      <c r="O605" s="17"/>
      <c r="R605" s="17"/>
      <c r="S605" s="17"/>
      <c r="T605" s="17"/>
    </row>
    <row r="606" customFormat="false" ht="15" hidden="false" customHeight="true" outlineLevel="0" collapsed="false">
      <c r="B606" s="17"/>
      <c r="E606" s="17"/>
      <c r="F606" s="17"/>
      <c r="G606" s="17"/>
      <c r="I606" s="17"/>
      <c r="M606" s="17"/>
      <c r="N606" s="17"/>
      <c r="O606" s="17"/>
      <c r="R606" s="17"/>
      <c r="S606" s="17"/>
      <c r="T606" s="17"/>
    </row>
    <row r="607" customFormat="false" ht="15" hidden="false" customHeight="true" outlineLevel="0" collapsed="false">
      <c r="B607" s="17"/>
      <c r="E607" s="17"/>
      <c r="F607" s="17"/>
      <c r="G607" s="17"/>
      <c r="I607" s="17"/>
      <c r="M607" s="17"/>
      <c r="N607" s="17"/>
      <c r="O607" s="17"/>
      <c r="R607" s="17"/>
      <c r="S607" s="17"/>
      <c r="T607" s="17"/>
    </row>
    <row r="608" customFormat="false" ht="15" hidden="false" customHeight="true" outlineLevel="0" collapsed="false">
      <c r="B608" s="17"/>
      <c r="E608" s="17"/>
      <c r="F608" s="17"/>
      <c r="G608" s="17"/>
      <c r="I608" s="17"/>
      <c r="M608" s="17"/>
      <c r="N608" s="17"/>
      <c r="O608" s="17"/>
      <c r="R608" s="17"/>
      <c r="S608" s="17"/>
      <c r="T608" s="17"/>
    </row>
    <row r="609" customFormat="false" ht="15" hidden="false" customHeight="true" outlineLevel="0" collapsed="false">
      <c r="B609" s="17"/>
      <c r="E609" s="17"/>
      <c r="F609" s="17"/>
      <c r="G609" s="17"/>
      <c r="I609" s="17"/>
      <c r="M609" s="17"/>
      <c r="N609" s="17"/>
      <c r="O609" s="17"/>
      <c r="R609" s="17"/>
      <c r="S609" s="17"/>
      <c r="T609" s="17"/>
    </row>
    <row r="610" customFormat="false" ht="15" hidden="false" customHeight="true" outlineLevel="0" collapsed="false">
      <c r="B610" s="17"/>
      <c r="E610" s="17"/>
      <c r="F610" s="17"/>
      <c r="G610" s="17"/>
      <c r="I610" s="17"/>
      <c r="M610" s="17"/>
      <c r="N610" s="17"/>
      <c r="O610" s="17"/>
      <c r="R610" s="17"/>
      <c r="S610" s="17"/>
      <c r="T610" s="17"/>
    </row>
    <row r="611" customFormat="false" ht="15" hidden="false" customHeight="true" outlineLevel="0" collapsed="false">
      <c r="B611" s="17"/>
      <c r="E611" s="17"/>
      <c r="F611" s="17"/>
      <c r="G611" s="17"/>
      <c r="I611" s="17"/>
      <c r="M611" s="17"/>
      <c r="N611" s="17"/>
      <c r="O611" s="17"/>
      <c r="R611" s="17"/>
      <c r="S611" s="17"/>
      <c r="T611" s="17"/>
    </row>
    <row r="612" customFormat="false" ht="15" hidden="false" customHeight="true" outlineLevel="0" collapsed="false">
      <c r="B612" s="17"/>
      <c r="E612" s="17"/>
      <c r="F612" s="17"/>
      <c r="G612" s="17"/>
      <c r="I612" s="17"/>
      <c r="M612" s="17"/>
      <c r="N612" s="17"/>
      <c r="O612" s="17"/>
      <c r="R612" s="17"/>
      <c r="S612" s="17"/>
      <c r="T612" s="17"/>
    </row>
    <row r="613" customFormat="false" ht="15" hidden="false" customHeight="true" outlineLevel="0" collapsed="false">
      <c r="B613" s="17"/>
      <c r="E613" s="17"/>
      <c r="F613" s="17"/>
      <c r="G613" s="17"/>
      <c r="I613" s="17"/>
      <c r="M613" s="17"/>
      <c r="N613" s="17"/>
      <c r="O613" s="17"/>
      <c r="R613" s="17"/>
      <c r="S613" s="17"/>
      <c r="T613" s="17"/>
    </row>
    <row r="614" customFormat="false" ht="15" hidden="false" customHeight="true" outlineLevel="0" collapsed="false">
      <c r="B614" s="17"/>
      <c r="E614" s="17"/>
      <c r="F614" s="17"/>
      <c r="G614" s="17"/>
      <c r="I614" s="17"/>
      <c r="M614" s="17"/>
      <c r="N614" s="17"/>
      <c r="O614" s="17"/>
      <c r="R614" s="17"/>
      <c r="S614" s="17"/>
      <c r="T614" s="17"/>
    </row>
    <row r="615" customFormat="false" ht="15" hidden="false" customHeight="true" outlineLevel="0" collapsed="false">
      <c r="B615" s="17"/>
      <c r="E615" s="17"/>
      <c r="F615" s="17"/>
      <c r="G615" s="17"/>
      <c r="I615" s="17"/>
      <c r="M615" s="17"/>
      <c r="N615" s="17"/>
      <c r="O615" s="17"/>
      <c r="R615" s="17"/>
      <c r="S615" s="17"/>
      <c r="T615" s="17"/>
    </row>
    <row r="616" customFormat="false" ht="15" hidden="false" customHeight="true" outlineLevel="0" collapsed="false">
      <c r="B616" s="17"/>
      <c r="E616" s="17"/>
      <c r="F616" s="17"/>
      <c r="G616" s="17"/>
      <c r="I616" s="17"/>
      <c r="M616" s="17"/>
      <c r="N616" s="17"/>
      <c r="O616" s="17"/>
      <c r="R616" s="17"/>
      <c r="S616" s="17"/>
      <c r="T616" s="17"/>
    </row>
    <row r="617" customFormat="false" ht="15" hidden="false" customHeight="true" outlineLevel="0" collapsed="false">
      <c r="B617" s="17"/>
      <c r="E617" s="17"/>
      <c r="F617" s="17"/>
      <c r="G617" s="17"/>
      <c r="I617" s="17"/>
      <c r="M617" s="17"/>
      <c r="N617" s="17"/>
      <c r="O617" s="17"/>
      <c r="R617" s="17"/>
      <c r="S617" s="17"/>
      <c r="T617" s="17"/>
    </row>
    <row r="618" customFormat="false" ht="15" hidden="false" customHeight="true" outlineLevel="0" collapsed="false">
      <c r="B618" s="17"/>
      <c r="E618" s="17"/>
      <c r="F618" s="17"/>
      <c r="G618" s="17"/>
      <c r="I618" s="17"/>
      <c r="M618" s="17"/>
      <c r="N618" s="17"/>
      <c r="O618" s="17"/>
      <c r="R618" s="17"/>
      <c r="S618" s="17"/>
      <c r="T618" s="17"/>
    </row>
    <row r="619" customFormat="false" ht="15" hidden="false" customHeight="true" outlineLevel="0" collapsed="false">
      <c r="B619" s="17"/>
      <c r="E619" s="17"/>
      <c r="F619" s="17"/>
      <c r="G619" s="17"/>
      <c r="I619" s="17"/>
      <c r="M619" s="17"/>
      <c r="N619" s="17"/>
      <c r="O619" s="17"/>
      <c r="R619" s="17"/>
      <c r="S619" s="17"/>
      <c r="T619" s="17"/>
    </row>
    <row r="620" customFormat="false" ht="15" hidden="false" customHeight="true" outlineLevel="0" collapsed="false">
      <c r="B620" s="17"/>
      <c r="E620" s="17"/>
      <c r="F620" s="17"/>
      <c r="G620" s="17"/>
      <c r="I620" s="17"/>
      <c r="M620" s="17"/>
      <c r="N620" s="17"/>
      <c r="O620" s="17"/>
      <c r="R620" s="17"/>
      <c r="S620" s="17"/>
      <c r="T620" s="17"/>
    </row>
    <row r="621" customFormat="false" ht="15" hidden="false" customHeight="true" outlineLevel="0" collapsed="false">
      <c r="B621" s="17"/>
      <c r="E621" s="17"/>
      <c r="F621" s="17"/>
      <c r="G621" s="17"/>
      <c r="I621" s="17"/>
      <c r="M621" s="17"/>
      <c r="N621" s="17"/>
      <c r="O621" s="17"/>
      <c r="R621" s="17"/>
      <c r="S621" s="17"/>
      <c r="T621" s="17"/>
    </row>
    <row r="622" customFormat="false" ht="15" hidden="false" customHeight="true" outlineLevel="0" collapsed="false">
      <c r="B622" s="17"/>
      <c r="E622" s="17"/>
      <c r="F622" s="17"/>
      <c r="G622" s="17"/>
      <c r="I622" s="17"/>
      <c r="M622" s="17"/>
      <c r="N622" s="17"/>
      <c r="O622" s="17"/>
      <c r="R622" s="17"/>
      <c r="S622" s="17"/>
      <c r="T622" s="17"/>
    </row>
    <row r="623" customFormat="false" ht="15" hidden="false" customHeight="true" outlineLevel="0" collapsed="false">
      <c r="B623" s="17"/>
      <c r="E623" s="17"/>
      <c r="F623" s="17"/>
      <c r="G623" s="17"/>
      <c r="I623" s="17"/>
      <c r="M623" s="17"/>
      <c r="N623" s="17"/>
      <c r="O623" s="17"/>
      <c r="R623" s="17"/>
      <c r="S623" s="17"/>
      <c r="T623" s="17"/>
    </row>
    <row r="624" customFormat="false" ht="15" hidden="false" customHeight="true" outlineLevel="0" collapsed="false">
      <c r="B624" s="17"/>
      <c r="E624" s="17"/>
      <c r="F624" s="17"/>
      <c r="G624" s="17"/>
      <c r="I624" s="17"/>
      <c r="M624" s="17"/>
      <c r="N624" s="17"/>
      <c r="O624" s="17"/>
      <c r="R624" s="17"/>
      <c r="S624" s="17"/>
      <c r="T624" s="17"/>
    </row>
    <row r="625" customFormat="false" ht="15" hidden="false" customHeight="true" outlineLevel="0" collapsed="false">
      <c r="B625" s="17"/>
      <c r="E625" s="17"/>
      <c r="F625" s="17"/>
      <c r="G625" s="17"/>
      <c r="I625" s="17"/>
      <c r="M625" s="17"/>
      <c r="N625" s="17"/>
      <c r="O625" s="17"/>
      <c r="R625" s="17"/>
      <c r="S625" s="17"/>
      <c r="T625" s="17"/>
    </row>
    <row r="626" customFormat="false" ht="15" hidden="false" customHeight="true" outlineLevel="0" collapsed="false">
      <c r="B626" s="17"/>
      <c r="E626" s="17"/>
      <c r="F626" s="17"/>
      <c r="G626" s="17"/>
      <c r="I626" s="17"/>
      <c r="M626" s="17"/>
      <c r="N626" s="17"/>
      <c r="O626" s="17"/>
      <c r="R626" s="17"/>
      <c r="S626" s="17"/>
      <c r="T626" s="17"/>
    </row>
    <row r="627" customFormat="false" ht="15" hidden="false" customHeight="true" outlineLevel="0" collapsed="false">
      <c r="B627" s="17"/>
      <c r="E627" s="17"/>
      <c r="F627" s="17"/>
      <c r="G627" s="17"/>
      <c r="I627" s="17"/>
      <c r="M627" s="17"/>
      <c r="N627" s="17"/>
      <c r="O627" s="17"/>
      <c r="R627" s="17"/>
      <c r="S627" s="17"/>
      <c r="T627" s="17"/>
    </row>
    <row r="628" customFormat="false" ht="15" hidden="false" customHeight="true" outlineLevel="0" collapsed="false">
      <c r="B628" s="17"/>
      <c r="E628" s="17"/>
      <c r="F628" s="17"/>
      <c r="G628" s="17"/>
      <c r="I628" s="17"/>
      <c r="M628" s="17"/>
      <c r="N628" s="17"/>
      <c r="O628" s="17"/>
      <c r="R628" s="17"/>
      <c r="S628" s="17"/>
      <c r="T628" s="17"/>
    </row>
    <row r="629" customFormat="false" ht="15" hidden="false" customHeight="true" outlineLevel="0" collapsed="false">
      <c r="B629" s="17"/>
      <c r="E629" s="17"/>
      <c r="F629" s="17"/>
      <c r="G629" s="17"/>
      <c r="I629" s="17"/>
      <c r="M629" s="17"/>
      <c r="N629" s="17"/>
      <c r="O629" s="17"/>
      <c r="R629" s="17"/>
      <c r="S629" s="17"/>
      <c r="T629" s="17"/>
    </row>
    <row r="630" customFormat="false" ht="15" hidden="false" customHeight="true" outlineLevel="0" collapsed="false">
      <c r="B630" s="17"/>
      <c r="E630" s="17"/>
      <c r="F630" s="17"/>
      <c r="G630" s="17"/>
      <c r="I630" s="17"/>
      <c r="M630" s="17"/>
      <c r="N630" s="17"/>
      <c r="O630" s="17"/>
      <c r="R630" s="17"/>
      <c r="S630" s="17"/>
      <c r="T630" s="17"/>
    </row>
    <row r="631" customFormat="false" ht="15" hidden="false" customHeight="true" outlineLevel="0" collapsed="false">
      <c r="B631" s="17"/>
      <c r="E631" s="17"/>
      <c r="F631" s="17"/>
      <c r="G631" s="17"/>
      <c r="I631" s="17"/>
      <c r="M631" s="17"/>
      <c r="N631" s="17"/>
      <c r="O631" s="17"/>
      <c r="R631" s="17"/>
      <c r="S631" s="17"/>
      <c r="T631" s="17"/>
    </row>
    <row r="632" customFormat="false" ht="15" hidden="false" customHeight="true" outlineLevel="0" collapsed="false">
      <c r="B632" s="17"/>
      <c r="E632" s="17"/>
      <c r="F632" s="17"/>
      <c r="G632" s="17"/>
      <c r="I632" s="17"/>
      <c r="M632" s="17"/>
      <c r="N632" s="17"/>
      <c r="O632" s="17"/>
      <c r="R632" s="17"/>
      <c r="S632" s="17"/>
      <c r="T632" s="17"/>
    </row>
    <row r="633" customFormat="false" ht="15" hidden="false" customHeight="true" outlineLevel="0" collapsed="false">
      <c r="B633" s="17"/>
      <c r="E633" s="17"/>
      <c r="F633" s="17"/>
      <c r="G633" s="17"/>
      <c r="I633" s="17"/>
      <c r="M633" s="17"/>
      <c r="N633" s="17"/>
      <c r="O633" s="17"/>
      <c r="R633" s="17"/>
      <c r="S633" s="17"/>
      <c r="T633" s="17"/>
    </row>
    <row r="634" customFormat="false" ht="15" hidden="false" customHeight="true" outlineLevel="0" collapsed="false">
      <c r="B634" s="17"/>
      <c r="E634" s="17"/>
      <c r="F634" s="17"/>
      <c r="G634" s="17"/>
      <c r="I634" s="17"/>
      <c r="M634" s="17"/>
      <c r="N634" s="17"/>
      <c r="O634" s="17"/>
      <c r="R634" s="17"/>
      <c r="S634" s="17"/>
      <c r="T634" s="17"/>
    </row>
    <row r="635" customFormat="false" ht="15" hidden="false" customHeight="true" outlineLevel="0" collapsed="false">
      <c r="B635" s="17"/>
      <c r="E635" s="17"/>
      <c r="F635" s="17"/>
      <c r="G635" s="17"/>
      <c r="I635" s="17"/>
      <c r="M635" s="17"/>
      <c r="N635" s="17"/>
      <c r="O635" s="17"/>
      <c r="R635" s="17"/>
      <c r="S635" s="17"/>
      <c r="T635" s="17"/>
    </row>
    <row r="636" customFormat="false" ht="15" hidden="false" customHeight="true" outlineLevel="0" collapsed="false">
      <c r="B636" s="17"/>
      <c r="E636" s="17"/>
      <c r="F636" s="17"/>
      <c r="G636" s="17"/>
      <c r="I636" s="17"/>
      <c r="M636" s="17"/>
      <c r="N636" s="17"/>
      <c r="O636" s="17"/>
      <c r="R636" s="17"/>
      <c r="S636" s="17"/>
      <c r="T636" s="17"/>
    </row>
    <row r="637" customFormat="false" ht="15" hidden="false" customHeight="true" outlineLevel="0" collapsed="false">
      <c r="B637" s="17"/>
      <c r="E637" s="17"/>
      <c r="F637" s="17"/>
      <c r="G637" s="17"/>
      <c r="I637" s="17"/>
      <c r="M637" s="17"/>
      <c r="N637" s="17"/>
      <c r="O637" s="17"/>
      <c r="R637" s="17"/>
      <c r="S637" s="17"/>
      <c r="T637" s="17"/>
    </row>
    <row r="638" customFormat="false" ht="15" hidden="false" customHeight="true" outlineLevel="0" collapsed="false">
      <c r="B638" s="17"/>
      <c r="E638" s="17"/>
      <c r="F638" s="17"/>
      <c r="G638" s="17"/>
      <c r="I638" s="17"/>
      <c r="M638" s="17"/>
      <c r="N638" s="17"/>
      <c r="O638" s="17"/>
      <c r="R638" s="17"/>
      <c r="S638" s="17"/>
      <c r="T638" s="17"/>
    </row>
    <row r="639" customFormat="false" ht="15" hidden="false" customHeight="true" outlineLevel="0" collapsed="false">
      <c r="B639" s="17"/>
      <c r="E639" s="17"/>
      <c r="F639" s="17"/>
      <c r="G639" s="17"/>
      <c r="I639" s="17"/>
      <c r="M639" s="17"/>
      <c r="N639" s="17"/>
      <c r="O639" s="17"/>
      <c r="R639" s="17"/>
      <c r="S639" s="17"/>
      <c r="T639" s="17"/>
    </row>
    <row r="640" customFormat="false" ht="15" hidden="false" customHeight="true" outlineLevel="0" collapsed="false">
      <c r="B640" s="17"/>
      <c r="E640" s="17"/>
      <c r="F640" s="17"/>
      <c r="G640" s="17"/>
      <c r="I640" s="17"/>
      <c r="M640" s="17"/>
      <c r="N640" s="17"/>
      <c r="O640" s="17"/>
      <c r="R640" s="17"/>
      <c r="S640" s="17"/>
      <c r="T640" s="17"/>
    </row>
    <row r="641" customFormat="false" ht="15" hidden="false" customHeight="true" outlineLevel="0" collapsed="false">
      <c r="B641" s="17"/>
      <c r="E641" s="17"/>
      <c r="F641" s="17"/>
      <c r="G641" s="17"/>
      <c r="I641" s="17"/>
      <c r="M641" s="17"/>
      <c r="N641" s="17"/>
      <c r="O641" s="17"/>
      <c r="R641" s="17"/>
      <c r="S641" s="17"/>
      <c r="T641" s="17"/>
    </row>
    <row r="642" customFormat="false" ht="15" hidden="false" customHeight="true" outlineLevel="0" collapsed="false">
      <c r="B642" s="17"/>
      <c r="E642" s="17"/>
      <c r="F642" s="17"/>
      <c r="G642" s="17"/>
      <c r="I642" s="17"/>
      <c r="M642" s="17"/>
      <c r="N642" s="17"/>
      <c r="O642" s="17"/>
      <c r="R642" s="17"/>
      <c r="S642" s="17"/>
      <c r="T642" s="17"/>
    </row>
    <row r="643" customFormat="false" ht="15" hidden="false" customHeight="true" outlineLevel="0" collapsed="false">
      <c r="B643" s="17"/>
      <c r="E643" s="17"/>
      <c r="F643" s="17"/>
      <c r="G643" s="17"/>
      <c r="I643" s="17"/>
      <c r="M643" s="17"/>
      <c r="N643" s="17"/>
      <c r="O643" s="17"/>
      <c r="R643" s="17"/>
      <c r="S643" s="17"/>
      <c r="T643" s="17"/>
    </row>
    <row r="644" customFormat="false" ht="15" hidden="false" customHeight="true" outlineLevel="0" collapsed="false">
      <c r="B644" s="17"/>
      <c r="E644" s="17"/>
      <c r="F644" s="17"/>
      <c r="G644" s="17"/>
      <c r="I644" s="17"/>
      <c r="M644" s="17"/>
      <c r="N644" s="17"/>
      <c r="O644" s="17"/>
      <c r="R644" s="17"/>
      <c r="S644" s="17"/>
      <c r="T644" s="17"/>
    </row>
    <row r="645" customFormat="false" ht="15" hidden="false" customHeight="true" outlineLevel="0" collapsed="false">
      <c r="B645" s="17"/>
      <c r="E645" s="17"/>
      <c r="F645" s="17"/>
      <c r="G645" s="17"/>
      <c r="I645" s="17"/>
      <c r="M645" s="17"/>
      <c r="N645" s="17"/>
      <c r="O645" s="17"/>
      <c r="R645" s="17"/>
      <c r="S645" s="17"/>
      <c r="T645" s="17"/>
    </row>
    <row r="646" customFormat="false" ht="15" hidden="false" customHeight="true" outlineLevel="0" collapsed="false">
      <c r="B646" s="17"/>
      <c r="E646" s="17"/>
      <c r="F646" s="17"/>
      <c r="G646" s="17"/>
      <c r="I646" s="17"/>
      <c r="M646" s="17"/>
      <c r="N646" s="17"/>
      <c r="O646" s="17"/>
      <c r="R646" s="17"/>
      <c r="S646" s="17"/>
      <c r="T646" s="17"/>
    </row>
    <row r="647" customFormat="false" ht="15" hidden="false" customHeight="true" outlineLevel="0" collapsed="false">
      <c r="B647" s="17"/>
      <c r="E647" s="17"/>
      <c r="F647" s="17"/>
      <c r="G647" s="17"/>
      <c r="I647" s="17"/>
      <c r="M647" s="17"/>
      <c r="N647" s="17"/>
      <c r="O647" s="17"/>
      <c r="R647" s="17"/>
      <c r="S647" s="17"/>
      <c r="T647" s="17"/>
    </row>
    <row r="648" customFormat="false" ht="15" hidden="false" customHeight="true" outlineLevel="0" collapsed="false">
      <c r="B648" s="17"/>
      <c r="E648" s="17"/>
      <c r="F648" s="17"/>
      <c r="G648" s="17"/>
      <c r="I648" s="17"/>
      <c r="M648" s="17"/>
      <c r="N648" s="17"/>
      <c r="O648" s="17"/>
      <c r="R648" s="17"/>
      <c r="S648" s="17"/>
      <c r="T648" s="17"/>
    </row>
    <row r="649" customFormat="false" ht="15" hidden="false" customHeight="true" outlineLevel="0" collapsed="false">
      <c r="B649" s="17"/>
      <c r="E649" s="17"/>
      <c r="F649" s="17"/>
      <c r="G649" s="17"/>
      <c r="I649" s="17"/>
      <c r="M649" s="17"/>
      <c r="N649" s="17"/>
      <c r="O649" s="17"/>
      <c r="R649" s="17"/>
      <c r="S649" s="17"/>
      <c r="T649" s="17"/>
    </row>
    <row r="650" customFormat="false" ht="15" hidden="false" customHeight="true" outlineLevel="0" collapsed="false">
      <c r="B650" s="17"/>
      <c r="E650" s="17"/>
      <c r="F650" s="17"/>
      <c r="G650" s="17"/>
      <c r="I650" s="17"/>
      <c r="M650" s="17"/>
      <c r="N650" s="17"/>
      <c r="O650" s="17"/>
      <c r="R650" s="17"/>
      <c r="S650" s="17"/>
      <c r="T650" s="17"/>
    </row>
    <row r="651" customFormat="false" ht="15" hidden="false" customHeight="true" outlineLevel="0" collapsed="false">
      <c r="B651" s="17"/>
      <c r="E651" s="17"/>
      <c r="F651" s="17"/>
      <c r="G651" s="17"/>
      <c r="I651" s="17"/>
      <c r="M651" s="17"/>
      <c r="N651" s="17"/>
      <c r="O651" s="17"/>
      <c r="R651" s="17"/>
      <c r="S651" s="17"/>
      <c r="T651" s="17"/>
    </row>
    <row r="652" customFormat="false" ht="15" hidden="false" customHeight="true" outlineLevel="0" collapsed="false">
      <c r="B652" s="17"/>
      <c r="E652" s="17"/>
      <c r="F652" s="17"/>
      <c r="G652" s="17"/>
      <c r="I652" s="17"/>
      <c r="M652" s="17"/>
      <c r="N652" s="17"/>
      <c r="O652" s="17"/>
      <c r="R652" s="17"/>
      <c r="S652" s="17"/>
      <c r="T652" s="17"/>
    </row>
    <row r="653" customFormat="false" ht="15" hidden="false" customHeight="true" outlineLevel="0" collapsed="false">
      <c r="B653" s="17"/>
      <c r="E653" s="17"/>
      <c r="F653" s="17"/>
      <c r="G653" s="17"/>
      <c r="I653" s="17"/>
      <c r="M653" s="17"/>
      <c r="N653" s="17"/>
      <c r="O653" s="17"/>
      <c r="R653" s="17"/>
      <c r="S653" s="17"/>
      <c r="T653" s="17"/>
    </row>
    <row r="654" customFormat="false" ht="15" hidden="false" customHeight="true" outlineLevel="0" collapsed="false">
      <c r="B654" s="17"/>
      <c r="E654" s="17"/>
      <c r="F654" s="17"/>
      <c r="G654" s="17"/>
      <c r="I654" s="17"/>
      <c r="M654" s="17"/>
      <c r="N654" s="17"/>
      <c r="O654" s="17"/>
      <c r="R654" s="17"/>
      <c r="S654" s="17"/>
      <c r="T654" s="17"/>
    </row>
    <row r="655" customFormat="false" ht="15" hidden="false" customHeight="true" outlineLevel="0" collapsed="false">
      <c r="B655" s="17"/>
      <c r="E655" s="17"/>
      <c r="F655" s="17"/>
      <c r="G655" s="17"/>
      <c r="I655" s="17"/>
      <c r="M655" s="17"/>
      <c r="N655" s="17"/>
      <c r="O655" s="17"/>
      <c r="R655" s="17"/>
      <c r="S655" s="17"/>
      <c r="T655" s="17"/>
    </row>
    <row r="656" customFormat="false" ht="15" hidden="false" customHeight="true" outlineLevel="0" collapsed="false">
      <c r="B656" s="17"/>
      <c r="E656" s="17"/>
      <c r="F656" s="17"/>
      <c r="G656" s="17"/>
      <c r="I656" s="17"/>
      <c r="M656" s="17"/>
      <c r="N656" s="17"/>
      <c r="O656" s="17"/>
      <c r="R656" s="17"/>
      <c r="S656" s="17"/>
      <c r="T656" s="17"/>
    </row>
    <row r="657" customFormat="false" ht="15" hidden="false" customHeight="true" outlineLevel="0" collapsed="false">
      <c r="B657" s="17"/>
      <c r="E657" s="17"/>
      <c r="F657" s="17"/>
      <c r="G657" s="17"/>
      <c r="I657" s="17"/>
      <c r="M657" s="17"/>
      <c r="N657" s="17"/>
      <c r="O657" s="17"/>
      <c r="R657" s="17"/>
      <c r="S657" s="17"/>
      <c r="T657" s="17"/>
    </row>
    <row r="658" customFormat="false" ht="15" hidden="false" customHeight="true" outlineLevel="0" collapsed="false">
      <c r="B658" s="17"/>
      <c r="E658" s="17"/>
      <c r="F658" s="17"/>
      <c r="G658" s="17"/>
      <c r="I658" s="17"/>
      <c r="M658" s="17"/>
      <c r="N658" s="17"/>
      <c r="O658" s="17"/>
      <c r="R658" s="17"/>
      <c r="S658" s="17"/>
      <c r="T658" s="17"/>
    </row>
    <row r="659" customFormat="false" ht="15" hidden="false" customHeight="true" outlineLevel="0" collapsed="false">
      <c r="B659" s="17"/>
      <c r="E659" s="17"/>
      <c r="F659" s="17"/>
      <c r="G659" s="17"/>
      <c r="I659" s="17"/>
      <c r="M659" s="17"/>
      <c r="N659" s="17"/>
      <c r="O659" s="17"/>
      <c r="R659" s="17"/>
      <c r="S659" s="17"/>
      <c r="T659" s="17"/>
    </row>
    <row r="660" customFormat="false" ht="15" hidden="false" customHeight="true" outlineLevel="0" collapsed="false">
      <c r="B660" s="17"/>
      <c r="E660" s="17"/>
      <c r="F660" s="17"/>
      <c r="G660" s="17"/>
      <c r="I660" s="17"/>
      <c r="M660" s="17"/>
      <c r="N660" s="17"/>
      <c r="O660" s="17"/>
      <c r="R660" s="17"/>
      <c r="S660" s="17"/>
      <c r="T660" s="17"/>
    </row>
    <row r="661" customFormat="false" ht="15" hidden="false" customHeight="true" outlineLevel="0" collapsed="false">
      <c r="B661" s="17"/>
      <c r="E661" s="17"/>
      <c r="F661" s="17"/>
      <c r="G661" s="17"/>
      <c r="I661" s="17"/>
      <c r="M661" s="17"/>
      <c r="N661" s="17"/>
      <c r="O661" s="17"/>
      <c r="R661" s="17"/>
      <c r="S661" s="17"/>
      <c r="T661" s="17"/>
    </row>
    <row r="662" customFormat="false" ht="15" hidden="false" customHeight="true" outlineLevel="0" collapsed="false">
      <c r="B662" s="17"/>
      <c r="E662" s="17"/>
      <c r="F662" s="17"/>
      <c r="G662" s="17"/>
      <c r="I662" s="17"/>
      <c r="M662" s="17"/>
      <c r="N662" s="17"/>
      <c r="O662" s="17"/>
      <c r="R662" s="17"/>
      <c r="S662" s="17"/>
      <c r="T662" s="17"/>
    </row>
    <row r="663" customFormat="false" ht="15" hidden="false" customHeight="true" outlineLevel="0" collapsed="false">
      <c r="B663" s="17"/>
      <c r="E663" s="17"/>
      <c r="F663" s="17"/>
      <c r="G663" s="17"/>
      <c r="I663" s="17"/>
      <c r="M663" s="17"/>
      <c r="N663" s="17"/>
      <c r="O663" s="17"/>
      <c r="R663" s="17"/>
      <c r="S663" s="17"/>
      <c r="T663" s="17"/>
    </row>
    <row r="664" customFormat="false" ht="15" hidden="false" customHeight="true" outlineLevel="0" collapsed="false">
      <c r="B664" s="17"/>
      <c r="E664" s="17"/>
      <c r="F664" s="17"/>
      <c r="G664" s="17"/>
      <c r="I664" s="17"/>
      <c r="M664" s="17"/>
      <c r="N664" s="17"/>
      <c r="O664" s="17"/>
      <c r="R664" s="17"/>
      <c r="S664" s="17"/>
      <c r="T664" s="17"/>
    </row>
    <row r="665" customFormat="false" ht="15" hidden="false" customHeight="true" outlineLevel="0" collapsed="false">
      <c r="B665" s="17"/>
      <c r="E665" s="17"/>
      <c r="F665" s="17"/>
      <c r="G665" s="17"/>
      <c r="I665" s="17"/>
      <c r="M665" s="17"/>
      <c r="N665" s="17"/>
      <c r="O665" s="17"/>
      <c r="R665" s="17"/>
      <c r="S665" s="17"/>
      <c r="T665" s="17"/>
    </row>
    <row r="666" customFormat="false" ht="15" hidden="false" customHeight="true" outlineLevel="0" collapsed="false">
      <c r="B666" s="17"/>
      <c r="E666" s="17"/>
      <c r="F666" s="17"/>
      <c r="G666" s="17"/>
      <c r="I666" s="17"/>
      <c r="M666" s="17"/>
      <c r="N666" s="17"/>
      <c r="O666" s="17"/>
      <c r="R666" s="17"/>
      <c r="S666" s="17"/>
      <c r="T666" s="17"/>
    </row>
    <row r="667" customFormat="false" ht="15" hidden="false" customHeight="true" outlineLevel="0" collapsed="false">
      <c r="B667" s="17"/>
      <c r="E667" s="17"/>
      <c r="F667" s="17"/>
      <c r="G667" s="17"/>
      <c r="I667" s="17"/>
      <c r="M667" s="17"/>
      <c r="N667" s="17"/>
      <c r="O667" s="17"/>
      <c r="R667" s="17"/>
      <c r="S667" s="17"/>
      <c r="T667" s="17"/>
    </row>
    <row r="668" customFormat="false" ht="15" hidden="false" customHeight="true" outlineLevel="0" collapsed="false">
      <c r="B668" s="17"/>
      <c r="E668" s="17"/>
      <c r="F668" s="17"/>
      <c r="G668" s="17"/>
      <c r="I668" s="17"/>
      <c r="M668" s="17"/>
      <c r="N668" s="17"/>
      <c r="O668" s="17"/>
      <c r="R668" s="17"/>
      <c r="S668" s="17"/>
      <c r="T668" s="17"/>
    </row>
    <row r="669" customFormat="false" ht="15" hidden="false" customHeight="true" outlineLevel="0" collapsed="false">
      <c r="B669" s="17"/>
      <c r="E669" s="17"/>
      <c r="F669" s="17"/>
      <c r="G669" s="17"/>
      <c r="I669" s="17"/>
      <c r="M669" s="17"/>
      <c r="N669" s="17"/>
      <c r="O669" s="17"/>
      <c r="R669" s="17"/>
      <c r="S669" s="17"/>
      <c r="T669" s="17"/>
    </row>
    <row r="670" customFormat="false" ht="15" hidden="false" customHeight="true" outlineLevel="0" collapsed="false">
      <c r="B670" s="17"/>
      <c r="E670" s="17"/>
      <c r="F670" s="17"/>
      <c r="G670" s="17"/>
      <c r="I670" s="17"/>
      <c r="M670" s="17"/>
      <c r="N670" s="17"/>
      <c r="O670" s="17"/>
      <c r="R670" s="17"/>
      <c r="S670" s="17"/>
      <c r="T670" s="17"/>
    </row>
    <row r="671" customFormat="false" ht="15" hidden="false" customHeight="true" outlineLevel="0" collapsed="false">
      <c r="B671" s="17"/>
      <c r="E671" s="17"/>
      <c r="F671" s="17"/>
      <c r="G671" s="17"/>
      <c r="I671" s="17"/>
      <c r="M671" s="17"/>
      <c r="N671" s="17"/>
      <c r="O671" s="17"/>
      <c r="R671" s="17"/>
      <c r="S671" s="17"/>
      <c r="T671" s="17"/>
    </row>
    <row r="672" customFormat="false" ht="15" hidden="false" customHeight="true" outlineLevel="0" collapsed="false">
      <c r="B672" s="17"/>
      <c r="E672" s="17"/>
      <c r="F672" s="17"/>
      <c r="G672" s="17"/>
      <c r="I672" s="17"/>
      <c r="M672" s="17"/>
      <c r="N672" s="17"/>
      <c r="O672" s="17"/>
      <c r="R672" s="17"/>
      <c r="S672" s="17"/>
      <c r="T672" s="17"/>
    </row>
    <row r="673" customFormat="false" ht="15" hidden="false" customHeight="true" outlineLevel="0" collapsed="false">
      <c r="B673" s="17"/>
      <c r="E673" s="17"/>
      <c r="F673" s="17"/>
      <c r="G673" s="17"/>
      <c r="I673" s="17"/>
      <c r="M673" s="17"/>
      <c r="N673" s="17"/>
      <c r="O673" s="17"/>
      <c r="R673" s="17"/>
      <c r="S673" s="17"/>
      <c r="T673" s="17"/>
    </row>
    <row r="674" customFormat="false" ht="15" hidden="false" customHeight="true" outlineLevel="0" collapsed="false">
      <c r="B674" s="17"/>
      <c r="E674" s="17"/>
      <c r="F674" s="17"/>
      <c r="G674" s="17"/>
      <c r="I674" s="17"/>
      <c r="M674" s="17"/>
      <c r="N674" s="17"/>
      <c r="O674" s="17"/>
      <c r="R674" s="17"/>
      <c r="S674" s="17"/>
      <c r="T674" s="17"/>
    </row>
    <row r="675" customFormat="false" ht="15" hidden="false" customHeight="true" outlineLevel="0" collapsed="false">
      <c r="B675" s="17"/>
      <c r="E675" s="17"/>
      <c r="F675" s="17"/>
      <c r="G675" s="17"/>
      <c r="I675" s="17"/>
      <c r="M675" s="17"/>
      <c r="N675" s="17"/>
      <c r="O675" s="17"/>
      <c r="R675" s="17"/>
      <c r="S675" s="17"/>
      <c r="T675" s="17"/>
    </row>
    <row r="676" customFormat="false" ht="15" hidden="false" customHeight="true" outlineLevel="0" collapsed="false">
      <c r="B676" s="17"/>
      <c r="E676" s="17"/>
      <c r="F676" s="17"/>
      <c r="G676" s="17"/>
      <c r="I676" s="17"/>
      <c r="M676" s="17"/>
      <c r="N676" s="17"/>
      <c r="O676" s="17"/>
      <c r="R676" s="17"/>
      <c r="S676" s="17"/>
      <c r="T676" s="17"/>
    </row>
    <row r="677" customFormat="false" ht="15" hidden="false" customHeight="true" outlineLevel="0" collapsed="false">
      <c r="B677" s="17"/>
      <c r="E677" s="17"/>
      <c r="F677" s="17"/>
      <c r="G677" s="17"/>
      <c r="I677" s="17"/>
      <c r="M677" s="17"/>
      <c r="N677" s="17"/>
      <c r="O677" s="17"/>
      <c r="R677" s="17"/>
      <c r="S677" s="17"/>
      <c r="T677" s="17"/>
    </row>
    <row r="678" customFormat="false" ht="15" hidden="false" customHeight="true" outlineLevel="0" collapsed="false">
      <c r="B678" s="17"/>
      <c r="E678" s="17"/>
      <c r="F678" s="17"/>
      <c r="G678" s="17"/>
      <c r="I678" s="17"/>
      <c r="M678" s="17"/>
      <c r="N678" s="17"/>
      <c r="O678" s="17"/>
      <c r="R678" s="17"/>
      <c r="S678" s="17"/>
      <c r="T678" s="17"/>
    </row>
    <row r="679" customFormat="false" ht="15" hidden="false" customHeight="true" outlineLevel="0" collapsed="false">
      <c r="B679" s="17"/>
      <c r="E679" s="17"/>
      <c r="F679" s="17"/>
      <c r="G679" s="17"/>
      <c r="I679" s="17"/>
      <c r="M679" s="17"/>
      <c r="N679" s="17"/>
      <c r="O679" s="17"/>
      <c r="R679" s="17"/>
      <c r="S679" s="17"/>
      <c r="T679" s="17"/>
    </row>
    <row r="680" customFormat="false" ht="15" hidden="false" customHeight="true" outlineLevel="0" collapsed="false">
      <c r="B680" s="17"/>
      <c r="E680" s="17"/>
      <c r="F680" s="17"/>
      <c r="G680" s="17"/>
      <c r="I680" s="17"/>
      <c r="M680" s="17"/>
      <c r="N680" s="17"/>
      <c r="O680" s="17"/>
      <c r="R680" s="17"/>
      <c r="S680" s="17"/>
      <c r="T680" s="17"/>
    </row>
    <row r="681" customFormat="false" ht="15" hidden="false" customHeight="true" outlineLevel="0" collapsed="false">
      <c r="B681" s="17"/>
      <c r="E681" s="17"/>
      <c r="F681" s="17"/>
      <c r="G681" s="17"/>
      <c r="I681" s="17"/>
      <c r="M681" s="17"/>
      <c r="N681" s="17"/>
      <c r="O681" s="17"/>
      <c r="R681" s="17"/>
      <c r="S681" s="17"/>
      <c r="T681" s="17"/>
    </row>
    <row r="682" customFormat="false" ht="15" hidden="false" customHeight="true" outlineLevel="0" collapsed="false">
      <c r="B682" s="17"/>
      <c r="E682" s="17"/>
      <c r="F682" s="17"/>
      <c r="G682" s="17"/>
      <c r="I682" s="17"/>
      <c r="M682" s="17"/>
      <c r="N682" s="17"/>
      <c r="O682" s="17"/>
      <c r="R682" s="17"/>
      <c r="S682" s="17"/>
      <c r="T682" s="17"/>
    </row>
    <row r="683" customFormat="false" ht="15" hidden="false" customHeight="true" outlineLevel="0" collapsed="false">
      <c r="B683" s="17"/>
      <c r="E683" s="17"/>
      <c r="F683" s="17"/>
      <c r="G683" s="17"/>
      <c r="I683" s="17"/>
      <c r="M683" s="17"/>
      <c r="N683" s="17"/>
      <c r="O683" s="17"/>
      <c r="R683" s="17"/>
      <c r="S683" s="17"/>
      <c r="T683" s="17"/>
    </row>
    <row r="684" customFormat="false" ht="15" hidden="false" customHeight="true" outlineLevel="0" collapsed="false">
      <c r="B684" s="17"/>
      <c r="E684" s="17"/>
      <c r="F684" s="17"/>
      <c r="G684" s="17"/>
      <c r="I684" s="17"/>
      <c r="M684" s="17"/>
      <c r="N684" s="17"/>
      <c r="O684" s="17"/>
      <c r="R684" s="17"/>
      <c r="S684" s="17"/>
      <c r="T684" s="17"/>
    </row>
    <row r="685" customFormat="false" ht="15" hidden="false" customHeight="true" outlineLevel="0" collapsed="false">
      <c r="B685" s="17"/>
      <c r="E685" s="17"/>
      <c r="F685" s="17"/>
      <c r="G685" s="17"/>
      <c r="I685" s="17"/>
      <c r="M685" s="17"/>
      <c r="N685" s="17"/>
      <c r="O685" s="17"/>
      <c r="R685" s="17"/>
      <c r="S685" s="17"/>
      <c r="T685" s="17"/>
    </row>
    <row r="686" customFormat="false" ht="15" hidden="false" customHeight="true" outlineLevel="0" collapsed="false">
      <c r="B686" s="17"/>
      <c r="E686" s="17"/>
      <c r="F686" s="17"/>
      <c r="G686" s="17"/>
      <c r="I686" s="17"/>
      <c r="M686" s="17"/>
      <c r="N686" s="17"/>
      <c r="O686" s="17"/>
      <c r="R686" s="17"/>
      <c r="S686" s="17"/>
      <c r="T686" s="17"/>
    </row>
    <row r="687" customFormat="false" ht="15" hidden="false" customHeight="true" outlineLevel="0" collapsed="false">
      <c r="B687" s="17"/>
      <c r="E687" s="17"/>
      <c r="F687" s="17"/>
      <c r="G687" s="17"/>
      <c r="I687" s="17"/>
      <c r="M687" s="17"/>
      <c r="N687" s="17"/>
      <c r="O687" s="17"/>
      <c r="R687" s="17"/>
      <c r="S687" s="17"/>
      <c r="T687" s="17"/>
    </row>
    <row r="688" customFormat="false" ht="15" hidden="false" customHeight="true" outlineLevel="0" collapsed="false">
      <c r="B688" s="17"/>
      <c r="E688" s="17"/>
      <c r="F688" s="17"/>
      <c r="G688" s="17"/>
      <c r="I688" s="17"/>
      <c r="M688" s="17"/>
      <c r="N688" s="17"/>
      <c r="O688" s="17"/>
      <c r="R688" s="17"/>
      <c r="S688" s="17"/>
      <c r="T688" s="17"/>
    </row>
    <row r="689" customFormat="false" ht="15" hidden="false" customHeight="true" outlineLevel="0" collapsed="false">
      <c r="B689" s="17"/>
      <c r="E689" s="17"/>
      <c r="F689" s="17"/>
      <c r="G689" s="17"/>
      <c r="I689" s="17"/>
      <c r="M689" s="17"/>
      <c r="N689" s="17"/>
      <c r="O689" s="17"/>
      <c r="R689" s="17"/>
      <c r="S689" s="17"/>
      <c r="T689" s="17"/>
    </row>
    <row r="690" customFormat="false" ht="15" hidden="false" customHeight="true" outlineLevel="0" collapsed="false">
      <c r="B690" s="17"/>
      <c r="E690" s="17"/>
      <c r="F690" s="17"/>
      <c r="G690" s="17"/>
      <c r="I690" s="17"/>
      <c r="M690" s="17"/>
      <c r="N690" s="17"/>
      <c r="O690" s="17"/>
      <c r="R690" s="17"/>
      <c r="S690" s="17"/>
      <c r="T690" s="17"/>
    </row>
    <row r="691" customFormat="false" ht="15" hidden="false" customHeight="true" outlineLevel="0" collapsed="false">
      <c r="B691" s="17"/>
      <c r="E691" s="17"/>
      <c r="F691" s="17"/>
      <c r="G691" s="17"/>
      <c r="I691" s="17"/>
      <c r="M691" s="17"/>
      <c r="N691" s="17"/>
      <c r="O691" s="17"/>
      <c r="R691" s="17"/>
      <c r="S691" s="17"/>
      <c r="T691" s="17"/>
    </row>
    <row r="692" customFormat="false" ht="15" hidden="false" customHeight="true" outlineLevel="0" collapsed="false">
      <c r="B692" s="17"/>
      <c r="E692" s="17"/>
      <c r="F692" s="17"/>
      <c r="G692" s="17"/>
      <c r="I692" s="17"/>
      <c r="M692" s="17"/>
      <c r="N692" s="17"/>
      <c r="O692" s="17"/>
      <c r="R692" s="17"/>
      <c r="S692" s="17"/>
      <c r="T692" s="17"/>
    </row>
    <row r="693" customFormat="false" ht="15" hidden="false" customHeight="true" outlineLevel="0" collapsed="false">
      <c r="B693" s="17"/>
      <c r="E693" s="17"/>
      <c r="F693" s="17"/>
      <c r="G693" s="17"/>
      <c r="I693" s="17"/>
      <c r="M693" s="17"/>
      <c r="N693" s="17"/>
      <c r="O693" s="17"/>
      <c r="R693" s="17"/>
      <c r="S693" s="17"/>
      <c r="T693" s="17"/>
    </row>
    <row r="694" customFormat="false" ht="15" hidden="false" customHeight="true" outlineLevel="0" collapsed="false">
      <c r="B694" s="17"/>
      <c r="E694" s="17"/>
      <c r="F694" s="17"/>
      <c r="G694" s="17"/>
      <c r="I694" s="17"/>
      <c r="M694" s="17"/>
      <c r="N694" s="17"/>
      <c r="O694" s="17"/>
      <c r="R694" s="17"/>
      <c r="S694" s="17"/>
      <c r="T694" s="17"/>
    </row>
    <row r="695" customFormat="false" ht="15" hidden="false" customHeight="true" outlineLevel="0" collapsed="false">
      <c r="B695" s="17"/>
      <c r="E695" s="17"/>
      <c r="F695" s="17"/>
      <c r="G695" s="17"/>
      <c r="I695" s="17"/>
      <c r="M695" s="17"/>
      <c r="N695" s="17"/>
      <c r="O695" s="17"/>
      <c r="R695" s="17"/>
      <c r="S695" s="17"/>
      <c r="T695" s="17"/>
    </row>
    <row r="696" customFormat="false" ht="15" hidden="false" customHeight="true" outlineLevel="0" collapsed="false">
      <c r="B696" s="17"/>
      <c r="E696" s="17"/>
      <c r="F696" s="17"/>
      <c r="G696" s="17"/>
      <c r="I696" s="17"/>
      <c r="M696" s="17"/>
      <c r="N696" s="17"/>
      <c r="O696" s="17"/>
      <c r="R696" s="17"/>
      <c r="S696" s="17"/>
      <c r="T696" s="17"/>
    </row>
    <row r="697" customFormat="false" ht="15" hidden="false" customHeight="true" outlineLevel="0" collapsed="false">
      <c r="B697" s="17"/>
      <c r="E697" s="17"/>
      <c r="F697" s="17"/>
      <c r="G697" s="17"/>
      <c r="I697" s="17"/>
      <c r="M697" s="17"/>
      <c r="N697" s="17"/>
      <c r="O697" s="17"/>
      <c r="R697" s="17"/>
      <c r="S697" s="17"/>
      <c r="T697" s="17"/>
    </row>
    <row r="698" customFormat="false" ht="15" hidden="false" customHeight="true" outlineLevel="0" collapsed="false">
      <c r="B698" s="17"/>
      <c r="E698" s="17"/>
      <c r="F698" s="17"/>
      <c r="G698" s="17"/>
      <c r="I698" s="17"/>
      <c r="M698" s="17"/>
      <c r="N698" s="17"/>
      <c r="O698" s="17"/>
      <c r="R698" s="17"/>
      <c r="S698" s="17"/>
      <c r="T698" s="17"/>
    </row>
    <row r="699" customFormat="false" ht="15" hidden="false" customHeight="true" outlineLevel="0" collapsed="false">
      <c r="B699" s="17"/>
      <c r="E699" s="17"/>
      <c r="F699" s="17"/>
      <c r="G699" s="17"/>
      <c r="I699" s="17"/>
      <c r="M699" s="17"/>
      <c r="N699" s="17"/>
      <c r="O699" s="17"/>
      <c r="R699" s="17"/>
      <c r="S699" s="17"/>
      <c r="T699" s="17"/>
    </row>
    <row r="700" customFormat="false" ht="15" hidden="false" customHeight="true" outlineLevel="0" collapsed="false">
      <c r="B700" s="17"/>
      <c r="E700" s="17"/>
      <c r="F700" s="17"/>
      <c r="G700" s="17"/>
      <c r="I700" s="17"/>
      <c r="M700" s="17"/>
      <c r="N700" s="17"/>
      <c r="O700" s="17"/>
      <c r="R700" s="17"/>
      <c r="S700" s="17"/>
      <c r="T700" s="17"/>
    </row>
    <row r="701" customFormat="false" ht="15" hidden="false" customHeight="true" outlineLevel="0" collapsed="false">
      <c r="B701" s="17"/>
      <c r="E701" s="17"/>
      <c r="F701" s="17"/>
      <c r="G701" s="17"/>
      <c r="I701" s="17"/>
      <c r="M701" s="17"/>
      <c r="N701" s="17"/>
      <c r="O701" s="17"/>
      <c r="R701" s="17"/>
      <c r="S701" s="17"/>
      <c r="T701" s="17"/>
    </row>
    <row r="702" customFormat="false" ht="15" hidden="false" customHeight="true" outlineLevel="0" collapsed="false">
      <c r="B702" s="17"/>
      <c r="E702" s="17"/>
      <c r="F702" s="17"/>
      <c r="G702" s="17"/>
      <c r="I702" s="17"/>
      <c r="M702" s="17"/>
      <c r="N702" s="17"/>
      <c r="O702" s="17"/>
      <c r="R702" s="17"/>
      <c r="S702" s="17"/>
      <c r="T702" s="17"/>
    </row>
    <row r="703" customFormat="false" ht="15" hidden="false" customHeight="true" outlineLevel="0" collapsed="false">
      <c r="B703" s="17"/>
      <c r="E703" s="17"/>
      <c r="F703" s="17"/>
      <c r="G703" s="17"/>
      <c r="I703" s="17"/>
      <c r="M703" s="17"/>
      <c r="N703" s="17"/>
      <c r="O703" s="17"/>
      <c r="R703" s="17"/>
      <c r="S703" s="17"/>
      <c r="T703" s="17"/>
    </row>
    <row r="704" customFormat="false" ht="15" hidden="false" customHeight="true" outlineLevel="0" collapsed="false">
      <c r="B704" s="17"/>
      <c r="E704" s="17"/>
      <c r="F704" s="17"/>
      <c r="G704" s="17"/>
      <c r="I704" s="17"/>
      <c r="M704" s="17"/>
      <c r="N704" s="17"/>
      <c r="O704" s="17"/>
      <c r="R704" s="17"/>
      <c r="S704" s="17"/>
      <c r="T704" s="17"/>
    </row>
    <row r="705" customFormat="false" ht="15" hidden="false" customHeight="true" outlineLevel="0" collapsed="false">
      <c r="B705" s="17"/>
      <c r="E705" s="17"/>
      <c r="F705" s="17"/>
      <c r="G705" s="17"/>
      <c r="I705" s="17"/>
      <c r="M705" s="17"/>
      <c r="N705" s="17"/>
      <c r="O705" s="17"/>
      <c r="R705" s="17"/>
      <c r="S705" s="17"/>
      <c r="T705" s="17"/>
    </row>
    <row r="706" customFormat="false" ht="15" hidden="false" customHeight="true" outlineLevel="0" collapsed="false">
      <c r="B706" s="17"/>
      <c r="E706" s="17"/>
      <c r="F706" s="17"/>
      <c r="G706" s="17"/>
      <c r="I706" s="17"/>
      <c r="M706" s="17"/>
      <c r="N706" s="17"/>
      <c r="O706" s="17"/>
      <c r="R706" s="17"/>
      <c r="S706" s="17"/>
      <c r="T706" s="17"/>
    </row>
    <row r="707" customFormat="false" ht="15" hidden="false" customHeight="true" outlineLevel="0" collapsed="false">
      <c r="B707" s="17"/>
      <c r="E707" s="17"/>
      <c r="F707" s="17"/>
      <c r="G707" s="17"/>
      <c r="I707" s="17"/>
      <c r="M707" s="17"/>
      <c r="N707" s="17"/>
      <c r="O707" s="17"/>
      <c r="R707" s="17"/>
      <c r="S707" s="17"/>
      <c r="T707" s="17"/>
    </row>
    <row r="708" customFormat="false" ht="15" hidden="false" customHeight="true" outlineLevel="0" collapsed="false">
      <c r="B708" s="17"/>
      <c r="E708" s="17"/>
      <c r="F708" s="17"/>
      <c r="G708" s="17"/>
      <c r="I708" s="17"/>
      <c r="M708" s="17"/>
      <c r="N708" s="17"/>
      <c r="O708" s="17"/>
      <c r="R708" s="17"/>
      <c r="S708" s="17"/>
      <c r="T708" s="17"/>
    </row>
    <row r="709" customFormat="false" ht="15" hidden="false" customHeight="true" outlineLevel="0" collapsed="false">
      <c r="B709" s="17"/>
      <c r="E709" s="17"/>
      <c r="F709" s="17"/>
      <c r="G709" s="17"/>
      <c r="I709" s="17"/>
      <c r="M709" s="17"/>
      <c r="N709" s="17"/>
      <c r="O709" s="17"/>
      <c r="R709" s="17"/>
      <c r="S709" s="17"/>
      <c r="T709" s="17"/>
    </row>
    <row r="710" customFormat="false" ht="15" hidden="false" customHeight="true" outlineLevel="0" collapsed="false">
      <c r="B710" s="17"/>
      <c r="E710" s="17"/>
      <c r="F710" s="17"/>
      <c r="G710" s="17"/>
      <c r="I710" s="17"/>
      <c r="M710" s="17"/>
      <c r="N710" s="17"/>
      <c r="O710" s="17"/>
      <c r="R710" s="17"/>
      <c r="S710" s="17"/>
      <c r="T710" s="17"/>
    </row>
    <row r="711" customFormat="false" ht="15" hidden="false" customHeight="true" outlineLevel="0" collapsed="false">
      <c r="B711" s="17"/>
      <c r="E711" s="17"/>
      <c r="F711" s="17"/>
      <c r="G711" s="17"/>
      <c r="I711" s="17"/>
      <c r="M711" s="17"/>
      <c r="N711" s="17"/>
      <c r="O711" s="17"/>
      <c r="R711" s="17"/>
      <c r="S711" s="17"/>
      <c r="T711" s="17"/>
    </row>
    <row r="712" customFormat="false" ht="15" hidden="false" customHeight="true" outlineLevel="0" collapsed="false">
      <c r="B712" s="17"/>
      <c r="E712" s="17"/>
      <c r="F712" s="17"/>
      <c r="G712" s="17"/>
      <c r="I712" s="17"/>
      <c r="M712" s="17"/>
      <c r="N712" s="17"/>
      <c r="O712" s="17"/>
      <c r="R712" s="17"/>
      <c r="S712" s="17"/>
      <c r="T712" s="17"/>
    </row>
    <row r="713" customFormat="false" ht="15" hidden="false" customHeight="true" outlineLevel="0" collapsed="false">
      <c r="B713" s="17"/>
      <c r="E713" s="17"/>
      <c r="F713" s="17"/>
      <c r="G713" s="17"/>
      <c r="I713" s="17"/>
      <c r="M713" s="17"/>
      <c r="N713" s="17"/>
      <c r="O713" s="17"/>
      <c r="R713" s="17"/>
      <c r="S713" s="17"/>
      <c r="T713" s="17"/>
    </row>
    <row r="714" customFormat="false" ht="15" hidden="false" customHeight="true" outlineLevel="0" collapsed="false">
      <c r="B714" s="17"/>
      <c r="E714" s="17"/>
      <c r="F714" s="17"/>
      <c r="G714" s="17"/>
      <c r="I714" s="17"/>
      <c r="M714" s="17"/>
      <c r="N714" s="17"/>
      <c r="O714" s="17"/>
      <c r="R714" s="17"/>
      <c r="S714" s="17"/>
      <c r="T714" s="17"/>
    </row>
    <row r="715" customFormat="false" ht="15" hidden="false" customHeight="true" outlineLevel="0" collapsed="false">
      <c r="B715" s="17"/>
      <c r="E715" s="17"/>
      <c r="F715" s="17"/>
      <c r="G715" s="17"/>
      <c r="I715" s="17"/>
      <c r="M715" s="17"/>
      <c r="N715" s="17"/>
      <c r="O715" s="17"/>
      <c r="R715" s="17"/>
      <c r="S715" s="17"/>
      <c r="T715" s="17"/>
    </row>
    <row r="716" customFormat="false" ht="15" hidden="false" customHeight="true" outlineLevel="0" collapsed="false">
      <c r="B716" s="17"/>
      <c r="E716" s="17"/>
      <c r="F716" s="17"/>
      <c r="G716" s="17"/>
      <c r="I716" s="17"/>
      <c r="M716" s="17"/>
      <c r="N716" s="17"/>
      <c r="O716" s="17"/>
      <c r="R716" s="17"/>
      <c r="S716" s="17"/>
      <c r="T716" s="17"/>
    </row>
    <row r="717" customFormat="false" ht="15" hidden="false" customHeight="true" outlineLevel="0" collapsed="false">
      <c r="B717" s="17"/>
      <c r="E717" s="17"/>
      <c r="F717" s="17"/>
      <c r="G717" s="17"/>
      <c r="I717" s="17"/>
      <c r="M717" s="17"/>
      <c r="N717" s="17"/>
      <c r="O717" s="17"/>
      <c r="R717" s="17"/>
      <c r="S717" s="17"/>
      <c r="T717" s="17"/>
    </row>
    <row r="718" customFormat="false" ht="15" hidden="false" customHeight="true" outlineLevel="0" collapsed="false">
      <c r="B718" s="17"/>
      <c r="E718" s="17"/>
      <c r="F718" s="17"/>
      <c r="G718" s="17"/>
      <c r="I718" s="17"/>
      <c r="M718" s="17"/>
      <c r="N718" s="17"/>
      <c r="O718" s="17"/>
      <c r="R718" s="17"/>
      <c r="S718" s="17"/>
      <c r="T718" s="17"/>
    </row>
    <row r="719" customFormat="false" ht="15" hidden="false" customHeight="true" outlineLevel="0" collapsed="false">
      <c r="B719" s="17"/>
      <c r="E719" s="17"/>
      <c r="F719" s="17"/>
      <c r="G719" s="17"/>
      <c r="I719" s="17"/>
      <c r="M719" s="17"/>
      <c r="N719" s="17"/>
      <c r="O719" s="17"/>
      <c r="R719" s="17"/>
      <c r="S719" s="17"/>
      <c r="T719" s="17"/>
    </row>
    <row r="720" customFormat="false" ht="15" hidden="false" customHeight="true" outlineLevel="0" collapsed="false">
      <c r="B720" s="17"/>
      <c r="E720" s="17"/>
      <c r="F720" s="17"/>
      <c r="G720" s="17"/>
      <c r="I720" s="17"/>
      <c r="M720" s="17"/>
      <c r="N720" s="17"/>
      <c r="O720" s="17"/>
      <c r="R720" s="17"/>
      <c r="S720" s="17"/>
      <c r="T720" s="17"/>
    </row>
    <row r="721" customFormat="false" ht="15" hidden="false" customHeight="true" outlineLevel="0" collapsed="false">
      <c r="B721" s="17"/>
      <c r="E721" s="17"/>
      <c r="F721" s="17"/>
      <c r="G721" s="17"/>
      <c r="I721" s="17"/>
      <c r="M721" s="17"/>
      <c r="N721" s="17"/>
      <c r="O721" s="17"/>
      <c r="R721" s="17"/>
      <c r="S721" s="17"/>
      <c r="T721" s="17"/>
    </row>
    <row r="722" customFormat="false" ht="15" hidden="false" customHeight="true" outlineLevel="0" collapsed="false">
      <c r="B722" s="17"/>
      <c r="E722" s="17"/>
      <c r="F722" s="17"/>
      <c r="G722" s="17"/>
      <c r="I722" s="17"/>
      <c r="M722" s="17"/>
      <c r="N722" s="17"/>
      <c r="O722" s="17"/>
      <c r="R722" s="17"/>
      <c r="S722" s="17"/>
      <c r="T722" s="17"/>
    </row>
    <row r="723" customFormat="false" ht="15" hidden="false" customHeight="true" outlineLevel="0" collapsed="false">
      <c r="B723" s="17"/>
      <c r="E723" s="17"/>
      <c r="F723" s="17"/>
      <c r="G723" s="17"/>
      <c r="I723" s="17"/>
      <c r="M723" s="17"/>
      <c r="N723" s="17"/>
      <c r="O723" s="17"/>
      <c r="R723" s="17"/>
      <c r="S723" s="17"/>
      <c r="T723" s="17"/>
    </row>
    <row r="724" customFormat="false" ht="15" hidden="false" customHeight="true" outlineLevel="0" collapsed="false">
      <c r="B724" s="17"/>
      <c r="E724" s="17"/>
      <c r="F724" s="17"/>
      <c r="G724" s="17"/>
      <c r="I724" s="17"/>
      <c r="M724" s="17"/>
      <c r="N724" s="17"/>
      <c r="O724" s="17"/>
      <c r="R724" s="17"/>
      <c r="S724" s="17"/>
      <c r="T724" s="17"/>
    </row>
    <row r="725" customFormat="false" ht="15" hidden="false" customHeight="true" outlineLevel="0" collapsed="false">
      <c r="B725" s="17"/>
      <c r="E725" s="17"/>
      <c r="F725" s="17"/>
      <c r="G725" s="17"/>
      <c r="I725" s="17"/>
      <c r="M725" s="17"/>
      <c r="N725" s="17"/>
      <c r="O725" s="17"/>
      <c r="R725" s="17"/>
      <c r="S725" s="17"/>
      <c r="T725" s="17"/>
    </row>
    <row r="726" customFormat="false" ht="15" hidden="false" customHeight="true" outlineLevel="0" collapsed="false">
      <c r="B726" s="17"/>
      <c r="E726" s="17"/>
      <c r="F726" s="17"/>
      <c r="G726" s="17"/>
      <c r="I726" s="17"/>
      <c r="M726" s="17"/>
      <c r="N726" s="17"/>
      <c r="O726" s="17"/>
      <c r="R726" s="17"/>
      <c r="S726" s="17"/>
      <c r="T726" s="17"/>
    </row>
    <row r="727" customFormat="false" ht="15" hidden="false" customHeight="true" outlineLevel="0" collapsed="false">
      <c r="B727" s="17"/>
      <c r="E727" s="17"/>
      <c r="F727" s="17"/>
      <c r="G727" s="17"/>
      <c r="I727" s="17"/>
      <c r="M727" s="17"/>
      <c r="N727" s="17"/>
      <c r="O727" s="17"/>
      <c r="R727" s="17"/>
      <c r="S727" s="17"/>
      <c r="T727" s="17"/>
    </row>
    <row r="728" customFormat="false" ht="15" hidden="false" customHeight="true" outlineLevel="0" collapsed="false">
      <c r="B728" s="17"/>
      <c r="E728" s="17"/>
      <c r="F728" s="17"/>
      <c r="G728" s="17"/>
      <c r="I728" s="17"/>
      <c r="M728" s="17"/>
      <c r="N728" s="17"/>
      <c r="O728" s="17"/>
      <c r="R728" s="17"/>
      <c r="S728" s="17"/>
      <c r="T728" s="17"/>
    </row>
    <row r="729" customFormat="false" ht="15" hidden="false" customHeight="true" outlineLevel="0" collapsed="false">
      <c r="B729" s="17"/>
      <c r="E729" s="17"/>
      <c r="F729" s="17"/>
      <c r="G729" s="17"/>
      <c r="I729" s="17"/>
      <c r="M729" s="17"/>
      <c r="N729" s="17"/>
      <c r="O729" s="17"/>
      <c r="R729" s="17"/>
      <c r="S729" s="17"/>
      <c r="T729" s="17"/>
    </row>
    <row r="730" customFormat="false" ht="15" hidden="false" customHeight="true" outlineLevel="0" collapsed="false">
      <c r="B730" s="17"/>
      <c r="E730" s="17"/>
      <c r="F730" s="17"/>
      <c r="G730" s="17"/>
      <c r="I730" s="17"/>
      <c r="M730" s="17"/>
      <c r="N730" s="17"/>
      <c r="O730" s="17"/>
      <c r="R730" s="17"/>
      <c r="S730" s="17"/>
      <c r="T730" s="17"/>
    </row>
    <row r="731" customFormat="false" ht="15" hidden="false" customHeight="true" outlineLevel="0" collapsed="false">
      <c r="B731" s="17"/>
      <c r="E731" s="17"/>
      <c r="F731" s="17"/>
      <c r="G731" s="17"/>
      <c r="I731" s="17"/>
      <c r="M731" s="17"/>
      <c r="N731" s="17"/>
      <c r="O731" s="17"/>
      <c r="R731" s="17"/>
      <c r="S731" s="17"/>
      <c r="T731" s="17"/>
    </row>
    <row r="732" customFormat="false" ht="15" hidden="false" customHeight="true" outlineLevel="0" collapsed="false">
      <c r="B732" s="17"/>
      <c r="E732" s="17"/>
      <c r="F732" s="17"/>
      <c r="G732" s="17"/>
      <c r="I732" s="17"/>
      <c r="M732" s="17"/>
      <c r="N732" s="17"/>
      <c r="O732" s="17"/>
      <c r="R732" s="17"/>
      <c r="S732" s="17"/>
      <c r="T732" s="17"/>
    </row>
    <row r="733" customFormat="false" ht="15" hidden="false" customHeight="true" outlineLevel="0" collapsed="false">
      <c r="B733" s="17"/>
      <c r="E733" s="17"/>
      <c r="F733" s="17"/>
      <c r="G733" s="17"/>
      <c r="I733" s="17"/>
      <c r="M733" s="17"/>
      <c r="N733" s="17"/>
      <c r="O733" s="17"/>
      <c r="R733" s="17"/>
      <c r="S733" s="17"/>
      <c r="T733" s="17"/>
    </row>
    <row r="734" customFormat="false" ht="15" hidden="false" customHeight="true" outlineLevel="0" collapsed="false">
      <c r="B734" s="17"/>
      <c r="E734" s="17"/>
      <c r="F734" s="17"/>
      <c r="G734" s="17"/>
      <c r="I734" s="17"/>
      <c r="M734" s="17"/>
      <c r="N734" s="17"/>
      <c r="O734" s="17"/>
      <c r="R734" s="17"/>
      <c r="S734" s="17"/>
      <c r="T734" s="17"/>
    </row>
    <row r="735" customFormat="false" ht="15" hidden="false" customHeight="true" outlineLevel="0" collapsed="false">
      <c r="B735" s="17"/>
      <c r="E735" s="17"/>
      <c r="F735" s="17"/>
      <c r="G735" s="17"/>
      <c r="I735" s="17"/>
      <c r="M735" s="17"/>
      <c r="N735" s="17"/>
      <c r="O735" s="17"/>
      <c r="R735" s="17"/>
      <c r="S735" s="17"/>
      <c r="T735" s="17"/>
    </row>
    <row r="736" customFormat="false" ht="15" hidden="false" customHeight="true" outlineLevel="0" collapsed="false">
      <c r="B736" s="17"/>
      <c r="E736" s="17"/>
      <c r="F736" s="17"/>
      <c r="G736" s="17"/>
      <c r="I736" s="17"/>
      <c r="M736" s="17"/>
      <c r="N736" s="17"/>
      <c r="O736" s="17"/>
      <c r="R736" s="17"/>
      <c r="S736" s="17"/>
      <c r="T736" s="17"/>
    </row>
    <row r="737" customFormat="false" ht="15" hidden="false" customHeight="true" outlineLevel="0" collapsed="false">
      <c r="B737" s="17"/>
      <c r="E737" s="17"/>
      <c r="F737" s="17"/>
      <c r="G737" s="17"/>
      <c r="I737" s="17"/>
      <c r="M737" s="17"/>
      <c r="N737" s="17"/>
      <c r="O737" s="17"/>
      <c r="R737" s="17"/>
      <c r="S737" s="17"/>
      <c r="T737" s="17"/>
    </row>
    <row r="738" customFormat="false" ht="15" hidden="false" customHeight="true" outlineLevel="0" collapsed="false">
      <c r="B738" s="17"/>
      <c r="E738" s="17"/>
      <c r="F738" s="17"/>
      <c r="G738" s="17"/>
      <c r="I738" s="17"/>
      <c r="M738" s="17"/>
      <c r="N738" s="17"/>
      <c r="O738" s="17"/>
      <c r="R738" s="17"/>
      <c r="S738" s="17"/>
      <c r="T738" s="17"/>
    </row>
    <row r="739" customFormat="false" ht="15" hidden="false" customHeight="true" outlineLevel="0" collapsed="false">
      <c r="B739" s="17"/>
      <c r="E739" s="17"/>
      <c r="F739" s="17"/>
      <c r="G739" s="17"/>
      <c r="I739" s="17"/>
      <c r="M739" s="17"/>
      <c r="N739" s="17"/>
      <c r="O739" s="17"/>
      <c r="R739" s="17"/>
      <c r="S739" s="17"/>
      <c r="T739" s="17"/>
    </row>
    <row r="740" customFormat="false" ht="15" hidden="false" customHeight="true" outlineLevel="0" collapsed="false">
      <c r="B740" s="17"/>
      <c r="E740" s="17"/>
      <c r="F740" s="17"/>
      <c r="G740" s="17"/>
      <c r="I740" s="17"/>
      <c r="M740" s="17"/>
      <c r="N740" s="17"/>
      <c r="O740" s="17"/>
      <c r="R740" s="17"/>
      <c r="S740" s="17"/>
      <c r="T740" s="17"/>
    </row>
    <row r="741" customFormat="false" ht="15" hidden="false" customHeight="true" outlineLevel="0" collapsed="false">
      <c r="B741" s="17"/>
      <c r="E741" s="17"/>
      <c r="F741" s="17"/>
      <c r="G741" s="17"/>
      <c r="I741" s="17"/>
      <c r="M741" s="17"/>
      <c r="N741" s="17"/>
      <c r="O741" s="17"/>
      <c r="R741" s="17"/>
      <c r="S741" s="17"/>
      <c r="T741" s="17"/>
    </row>
    <row r="742" customFormat="false" ht="15" hidden="false" customHeight="true" outlineLevel="0" collapsed="false">
      <c r="B742" s="17"/>
      <c r="E742" s="17"/>
      <c r="F742" s="17"/>
      <c r="G742" s="17"/>
      <c r="I742" s="17"/>
      <c r="M742" s="17"/>
      <c r="N742" s="17"/>
      <c r="O742" s="17"/>
      <c r="R742" s="17"/>
      <c r="S742" s="17"/>
      <c r="T742" s="17"/>
    </row>
    <row r="743" customFormat="false" ht="15" hidden="false" customHeight="true" outlineLevel="0" collapsed="false">
      <c r="B743" s="17"/>
      <c r="E743" s="17"/>
      <c r="F743" s="17"/>
      <c r="G743" s="17"/>
      <c r="I743" s="17"/>
      <c r="M743" s="17"/>
      <c r="N743" s="17"/>
      <c r="O743" s="17"/>
      <c r="R743" s="17"/>
      <c r="S743" s="17"/>
      <c r="T743" s="17"/>
    </row>
    <row r="744" customFormat="false" ht="15" hidden="false" customHeight="true" outlineLevel="0" collapsed="false">
      <c r="B744" s="17"/>
      <c r="E744" s="17"/>
      <c r="F744" s="17"/>
      <c r="G744" s="17"/>
      <c r="I744" s="17"/>
      <c r="M744" s="17"/>
      <c r="N744" s="17"/>
      <c r="O744" s="17"/>
      <c r="R744" s="17"/>
      <c r="S744" s="17"/>
      <c r="T744" s="17"/>
    </row>
    <row r="745" customFormat="false" ht="15" hidden="false" customHeight="true" outlineLevel="0" collapsed="false">
      <c r="B745" s="17"/>
      <c r="E745" s="17"/>
      <c r="F745" s="17"/>
      <c r="G745" s="17"/>
      <c r="I745" s="17"/>
      <c r="M745" s="17"/>
      <c r="N745" s="17"/>
      <c r="O745" s="17"/>
      <c r="R745" s="17"/>
      <c r="S745" s="17"/>
      <c r="T745" s="17"/>
    </row>
    <row r="746" customFormat="false" ht="15" hidden="false" customHeight="true" outlineLevel="0" collapsed="false">
      <c r="B746" s="17"/>
      <c r="E746" s="17"/>
      <c r="F746" s="17"/>
      <c r="G746" s="17"/>
      <c r="I746" s="17"/>
      <c r="M746" s="17"/>
      <c r="N746" s="17"/>
      <c r="O746" s="17"/>
      <c r="R746" s="17"/>
      <c r="S746" s="17"/>
      <c r="T746" s="17"/>
    </row>
    <row r="747" customFormat="false" ht="15" hidden="false" customHeight="true" outlineLevel="0" collapsed="false">
      <c r="B747" s="17"/>
      <c r="E747" s="17"/>
      <c r="F747" s="17"/>
      <c r="G747" s="17"/>
      <c r="I747" s="17"/>
      <c r="M747" s="17"/>
      <c r="N747" s="17"/>
      <c r="O747" s="17"/>
      <c r="R747" s="17"/>
      <c r="S747" s="17"/>
      <c r="T747" s="17"/>
    </row>
    <row r="748" customFormat="false" ht="15" hidden="false" customHeight="true" outlineLevel="0" collapsed="false">
      <c r="B748" s="17"/>
      <c r="E748" s="17"/>
      <c r="F748" s="17"/>
      <c r="G748" s="17"/>
      <c r="I748" s="17"/>
      <c r="M748" s="17"/>
      <c r="N748" s="17"/>
      <c r="O748" s="17"/>
      <c r="R748" s="17"/>
      <c r="S748" s="17"/>
      <c r="T748" s="17"/>
    </row>
    <row r="749" customFormat="false" ht="15" hidden="false" customHeight="true" outlineLevel="0" collapsed="false">
      <c r="B749" s="17"/>
      <c r="E749" s="17"/>
      <c r="F749" s="17"/>
      <c r="G749" s="17"/>
      <c r="I749" s="17"/>
      <c r="M749" s="17"/>
      <c r="N749" s="17"/>
      <c r="O749" s="17"/>
      <c r="R749" s="17"/>
      <c r="S749" s="17"/>
      <c r="T749" s="17"/>
    </row>
    <row r="750" customFormat="false" ht="15" hidden="false" customHeight="true" outlineLevel="0" collapsed="false">
      <c r="B750" s="17"/>
      <c r="E750" s="17"/>
      <c r="F750" s="17"/>
      <c r="G750" s="17"/>
      <c r="I750" s="17"/>
      <c r="M750" s="17"/>
      <c r="N750" s="17"/>
      <c r="O750" s="17"/>
      <c r="R750" s="17"/>
      <c r="S750" s="17"/>
      <c r="T750" s="17"/>
    </row>
    <row r="751" customFormat="false" ht="15" hidden="false" customHeight="true" outlineLevel="0" collapsed="false">
      <c r="B751" s="17"/>
      <c r="E751" s="17"/>
      <c r="F751" s="17"/>
      <c r="G751" s="17"/>
      <c r="I751" s="17"/>
      <c r="M751" s="17"/>
      <c r="N751" s="17"/>
      <c r="O751" s="17"/>
      <c r="R751" s="17"/>
      <c r="S751" s="17"/>
      <c r="T751" s="17"/>
    </row>
    <row r="752" customFormat="false" ht="15" hidden="false" customHeight="true" outlineLevel="0" collapsed="false">
      <c r="B752" s="17"/>
      <c r="E752" s="17"/>
      <c r="F752" s="17"/>
      <c r="G752" s="17"/>
      <c r="I752" s="17"/>
      <c r="M752" s="17"/>
      <c r="N752" s="17"/>
      <c r="O752" s="17"/>
      <c r="R752" s="17"/>
      <c r="S752" s="17"/>
      <c r="T752" s="17"/>
    </row>
    <row r="753" customFormat="false" ht="15" hidden="false" customHeight="true" outlineLevel="0" collapsed="false">
      <c r="B753" s="17"/>
      <c r="E753" s="17"/>
      <c r="F753" s="17"/>
      <c r="G753" s="17"/>
      <c r="I753" s="17"/>
      <c r="M753" s="17"/>
      <c r="N753" s="17"/>
      <c r="O753" s="17"/>
      <c r="R753" s="17"/>
      <c r="S753" s="17"/>
      <c r="T753" s="17"/>
    </row>
    <row r="754" customFormat="false" ht="15" hidden="false" customHeight="true" outlineLevel="0" collapsed="false">
      <c r="B754" s="17"/>
      <c r="E754" s="17"/>
      <c r="F754" s="17"/>
      <c r="G754" s="17"/>
      <c r="I754" s="17"/>
      <c r="M754" s="17"/>
      <c r="N754" s="17"/>
      <c r="O754" s="17"/>
      <c r="R754" s="17"/>
      <c r="S754" s="17"/>
      <c r="T754" s="17"/>
    </row>
    <row r="755" customFormat="false" ht="15" hidden="false" customHeight="true" outlineLevel="0" collapsed="false">
      <c r="B755" s="17"/>
      <c r="E755" s="17"/>
      <c r="F755" s="17"/>
      <c r="G755" s="17"/>
      <c r="I755" s="17"/>
      <c r="M755" s="17"/>
      <c r="N755" s="17"/>
      <c r="O755" s="17"/>
      <c r="R755" s="17"/>
      <c r="S755" s="17"/>
      <c r="T755" s="17"/>
    </row>
    <row r="756" customFormat="false" ht="15" hidden="false" customHeight="true" outlineLevel="0" collapsed="false">
      <c r="B756" s="17"/>
      <c r="E756" s="17"/>
      <c r="F756" s="17"/>
      <c r="G756" s="17"/>
      <c r="I756" s="17"/>
      <c r="M756" s="17"/>
      <c r="N756" s="17"/>
      <c r="O756" s="17"/>
      <c r="R756" s="17"/>
      <c r="S756" s="17"/>
      <c r="T756" s="17"/>
    </row>
    <row r="757" customFormat="false" ht="15" hidden="false" customHeight="true" outlineLevel="0" collapsed="false">
      <c r="B757" s="17"/>
      <c r="E757" s="17"/>
      <c r="F757" s="17"/>
      <c r="G757" s="17"/>
      <c r="I757" s="17"/>
      <c r="M757" s="17"/>
      <c r="N757" s="17"/>
      <c r="O757" s="17"/>
      <c r="R757" s="17"/>
      <c r="S757" s="17"/>
      <c r="T757" s="17"/>
    </row>
    <row r="758" customFormat="false" ht="15" hidden="false" customHeight="true" outlineLevel="0" collapsed="false">
      <c r="B758" s="17"/>
      <c r="E758" s="17"/>
      <c r="F758" s="17"/>
      <c r="G758" s="17"/>
      <c r="I758" s="17"/>
      <c r="M758" s="17"/>
      <c r="N758" s="17"/>
      <c r="O758" s="17"/>
      <c r="R758" s="17"/>
      <c r="S758" s="17"/>
      <c r="T758" s="17"/>
    </row>
    <row r="759" customFormat="false" ht="15" hidden="false" customHeight="true" outlineLevel="0" collapsed="false">
      <c r="B759" s="17"/>
      <c r="E759" s="17"/>
      <c r="F759" s="17"/>
      <c r="G759" s="17"/>
      <c r="I759" s="17"/>
      <c r="M759" s="17"/>
      <c r="N759" s="17"/>
      <c r="O759" s="17"/>
      <c r="R759" s="17"/>
      <c r="S759" s="17"/>
      <c r="T759" s="17"/>
    </row>
    <row r="760" customFormat="false" ht="15" hidden="false" customHeight="true" outlineLevel="0" collapsed="false">
      <c r="B760" s="17"/>
      <c r="E760" s="17"/>
      <c r="F760" s="17"/>
      <c r="G760" s="17"/>
      <c r="I760" s="17"/>
      <c r="M760" s="17"/>
      <c r="N760" s="17"/>
      <c r="O760" s="17"/>
      <c r="R760" s="17"/>
      <c r="S760" s="17"/>
      <c r="T760" s="17"/>
    </row>
    <row r="761" customFormat="false" ht="15" hidden="false" customHeight="true" outlineLevel="0" collapsed="false">
      <c r="B761" s="17"/>
      <c r="E761" s="17"/>
      <c r="F761" s="17"/>
      <c r="G761" s="17"/>
      <c r="I761" s="17"/>
      <c r="M761" s="17"/>
      <c r="N761" s="17"/>
      <c r="O761" s="17"/>
      <c r="R761" s="17"/>
      <c r="S761" s="17"/>
      <c r="T761" s="17"/>
    </row>
    <row r="762" customFormat="false" ht="15" hidden="false" customHeight="true" outlineLevel="0" collapsed="false">
      <c r="B762" s="17"/>
      <c r="E762" s="17"/>
      <c r="F762" s="17"/>
      <c r="G762" s="17"/>
      <c r="I762" s="17"/>
      <c r="M762" s="17"/>
      <c r="N762" s="17"/>
      <c r="O762" s="17"/>
      <c r="R762" s="17"/>
      <c r="S762" s="17"/>
      <c r="T762" s="17"/>
    </row>
    <row r="763" customFormat="false" ht="15" hidden="false" customHeight="true" outlineLevel="0" collapsed="false">
      <c r="B763" s="17"/>
      <c r="E763" s="17"/>
      <c r="F763" s="17"/>
      <c r="G763" s="17"/>
      <c r="I763" s="17"/>
      <c r="M763" s="17"/>
      <c r="N763" s="17"/>
      <c r="O763" s="17"/>
      <c r="R763" s="17"/>
      <c r="S763" s="17"/>
      <c r="T763" s="17"/>
    </row>
    <row r="764" customFormat="false" ht="15" hidden="false" customHeight="true" outlineLevel="0" collapsed="false">
      <c r="B764" s="17"/>
      <c r="E764" s="17"/>
      <c r="F764" s="17"/>
      <c r="G764" s="17"/>
      <c r="I764" s="17"/>
      <c r="M764" s="17"/>
      <c r="N764" s="17"/>
      <c r="O764" s="17"/>
      <c r="R764" s="17"/>
      <c r="S764" s="17"/>
      <c r="T764" s="17"/>
    </row>
    <row r="765" customFormat="false" ht="15" hidden="false" customHeight="true" outlineLevel="0" collapsed="false">
      <c r="B765" s="17"/>
      <c r="E765" s="17"/>
      <c r="F765" s="17"/>
      <c r="G765" s="17"/>
      <c r="I765" s="17"/>
      <c r="M765" s="17"/>
      <c r="N765" s="17"/>
      <c r="O765" s="17"/>
      <c r="R765" s="17"/>
      <c r="S765" s="17"/>
      <c r="T765" s="17"/>
    </row>
    <row r="766" customFormat="false" ht="15" hidden="false" customHeight="true" outlineLevel="0" collapsed="false">
      <c r="B766" s="17"/>
      <c r="E766" s="17"/>
      <c r="F766" s="17"/>
      <c r="G766" s="17"/>
      <c r="I766" s="17"/>
      <c r="M766" s="17"/>
      <c r="N766" s="17"/>
      <c r="O766" s="17"/>
      <c r="R766" s="17"/>
      <c r="S766" s="17"/>
      <c r="T766" s="17"/>
    </row>
    <row r="767" customFormat="false" ht="15" hidden="false" customHeight="true" outlineLevel="0" collapsed="false">
      <c r="B767" s="17"/>
      <c r="E767" s="17"/>
      <c r="F767" s="17"/>
      <c r="G767" s="17"/>
      <c r="I767" s="17"/>
      <c r="M767" s="17"/>
      <c r="N767" s="17"/>
      <c r="O767" s="17"/>
      <c r="R767" s="17"/>
      <c r="S767" s="17"/>
      <c r="T767" s="17"/>
    </row>
    <row r="768" customFormat="false" ht="15" hidden="false" customHeight="true" outlineLevel="0" collapsed="false">
      <c r="B768" s="17"/>
      <c r="E768" s="17"/>
      <c r="F768" s="17"/>
      <c r="G768" s="17"/>
      <c r="I768" s="17"/>
      <c r="M768" s="17"/>
      <c r="N768" s="17"/>
      <c r="O768" s="17"/>
      <c r="R768" s="17"/>
      <c r="S768" s="17"/>
      <c r="T768" s="17"/>
    </row>
    <row r="769" customFormat="false" ht="15" hidden="false" customHeight="true" outlineLevel="0" collapsed="false">
      <c r="B769" s="17"/>
      <c r="E769" s="17"/>
      <c r="F769" s="17"/>
      <c r="G769" s="17"/>
      <c r="I769" s="17"/>
      <c r="M769" s="17"/>
      <c r="N769" s="17"/>
      <c r="O769" s="17"/>
      <c r="R769" s="17"/>
      <c r="S769" s="17"/>
      <c r="T769" s="17"/>
    </row>
    <row r="770" customFormat="false" ht="15" hidden="false" customHeight="true" outlineLevel="0" collapsed="false">
      <c r="B770" s="17"/>
      <c r="E770" s="17"/>
      <c r="F770" s="17"/>
      <c r="G770" s="17"/>
      <c r="I770" s="17"/>
      <c r="M770" s="17"/>
      <c r="N770" s="17"/>
      <c r="O770" s="17"/>
      <c r="R770" s="17"/>
      <c r="S770" s="17"/>
      <c r="T770" s="17"/>
    </row>
    <row r="771" customFormat="false" ht="15" hidden="false" customHeight="true" outlineLevel="0" collapsed="false">
      <c r="B771" s="17"/>
      <c r="E771" s="17"/>
      <c r="F771" s="17"/>
      <c r="G771" s="17"/>
      <c r="I771" s="17"/>
      <c r="M771" s="17"/>
      <c r="N771" s="17"/>
      <c r="O771" s="17"/>
      <c r="R771" s="17"/>
      <c r="S771" s="17"/>
      <c r="T771" s="17"/>
    </row>
    <row r="772" customFormat="false" ht="15" hidden="false" customHeight="true" outlineLevel="0" collapsed="false">
      <c r="B772" s="17"/>
      <c r="E772" s="17"/>
      <c r="F772" s="17"/>
      <c r="G772" s="17"/>
      <c r="I772" s="17"/>
      <c r="M772" s="17"/>
      <c r="N772" s="17"/>
      <c r="O772" s="17"/>
      <c r="R772" s="17"/>
      <c r="S772" s="17"/>
      <c r="T772" s="17"/>
    </row>
    <row r="773" customFormat="false" ht="15" hidden="false" customHeight="true" outlineLevel="0" collapsed="false">
      <c r="B773" s="17"/>
      <c r="E773" s="17"/>
      <c r="F773" s="17"/>
      <c r="G773" s="17"/>
      <c r="I773" s="17"/>
      <c r="M773" s="17"/>
      <c r="N773" s="17"/>
      <c r="O773" s="17"/>
      <c r="R773" s="17"/>
      <c r="S773" s="17"/>
      <c r="T773" s="17"/>
    </row>
    <row r="774" customFormat="false" ht="15" hidden="false" customHeight="true" outlineLevel="0" collapsed="false">
      <c r="B774" s="17"/>
      <c r="E774" s="17"/>
      <c r="F774" s="17"/>
      <c r="G774" s="17"/>
      <c r="I774" s="17"/>
      <c r="M774" s="17"/>
      <c r="N774" s="17"/>
      <c r="O774" s="17"/>
      <c r="R774" s="17"/>
      <c r="S774" s="17"/>
      <c r="T774" s="17"/>
    </row>
    <row r="775" customFormat="false" ht="15" hidden="false" customHeight="true" outlineLevel="0" collapsed="false">
      <c r="B775" s="17"/>
      <c r="E775" s="17"/>
      <c r="F775" s="17"/>
      <c r="G775" s="17"/>
      <c r="I775" s="17"/>
      <c r="M775" s="17"/>
      <c r="N775" s="17"/>
      <c r="O775" s="17"/>
      <c r="R775" s="17"/>
      <c r="S775" s="17"/>
      <c r="T775" s="17"/>
    </row>
    <row r="776" customFormat="false" ht="15" hidden="false" customHeight="true" outlineLevel="0" collapsed="false">
      <c r="B776" s="17"/>
      <c r="E776" s="17"/>
      <c r="F776" s="17"/>
      <c r="G776" s="17"/>
      <c r="I776" s="17"/>
      <c r="M776" s="17"/>
      <c r="N776" s="17"/>
      <c r="O776" s="17"/>
      <c r="R776" s="17"/>
      <c r="S776" s="17"/>
      <c r="T776" s="17"/>
    </row>
    <row r="777" customFormat="false" ht="15" hidden="false" customHeight="true" outlineLevel="0" collapsed="false">
      <c r="B777" s="17"/>
      <c r="E777" s="17"/>
      <c r="F777" s="17"/>
      <c r="G777" s="17"/>
      <c r="I777" s="17"/>
      <c r="M777" s="17"/>
      <c r="N777" s="17"/>
      <c r="O777" s="17"/>
      <c r="R777" s="17"/>
      <c r="S777" s="17"/>
      <c r="T777" s="17"/>
    </row>
    <row r="778" customFormat="false" ht="15" hidden="false" customHeight="true" outlineLevel="0" collapsed="false">
      <c r="B778" s="17"/>
      <c r="E778" s="17"/>
      <c r="F778" s="17"/>
      <c r="G778" s="17"/>
      <c r="I778" s="17"/>
      <c r="M778" s="17"/>
      <c r="N778" s="17"/>
      <c r="O778" s="17"/>
      <c r="R778" s="17"/>
      <c r="S778" s="17"/>
      <c r="T778" s="17"/>
    </row>
    <row r="779" customFormat="false" ht="15" hidden="false" customHeight="true" outlineLevel="0" collapsed="false">
      <c r="B779" s="17"/>
      <c r="E779" s="17"/>
      <c r="F779" s="17"/>
      <c r="G779" s="17"/>
      <c r="I779" s="17"/>
      <c r="M779" s="17"/>
      <c r="N779" s="17"/>
      <c r="O779" s="17"/>
      <c r="R779" s="17"/>
      <c r="S779" s="17"/>
      <c r="T779" s="17"/>
    </row>
    <row r="780" customFormat="false" ht="15" hidden="false" customHeight="true" outlineLevel="0" collapsed="false">
      <c r="B780" s="17"/>
      <c r="E780" s="17"/>
      <c r="F780" s="17"/>
      <c r="G780" s="17"/>
      <c r="I780" s="17"/>
      <c r="M780" s="17"/>
      <c r="N780" s="17"/>
      <c r="O780" s="17"/>
      <c r="R780" s="17"/>
      <c r="S780" s="17"/>
      <c r="T780" s="17"/>
    </row>
    <row r="781" customFormat="false" ht="15" hidden="false" customHeight="true" outlineLevel="0" collapsed="false">
      <c r="B781" s="17"/>
      <c r="E781" s="17"/>
      <c r="F781" s="17"/>
      <c r="G781" s="17"/>
      <c r="I781" s="17"/>
      <c r="M781" s="17"/>
      <c r="N781" s="17"/>
      <c r="O781" s="17"/>
      <c r="R781" s="17"/>
      <c r="S781" s="17"/>
      <c r="T781" s="17"/>
    </row>
    <row r="782" customFormat="false" ht="15" hidden="false" customHeight="true" outlineLevel="0" collapsed="false">
      <c r="B782" s="17"/>
      <c r="E782" s="17"/>
      <c r="F782" s="17"/>
      <c r="G782" s="17"/>
      <c r="I782" s="17"/>
      <c r="M782" s="17"/>
      <c r="N782" s="17"/>
      <c r="O782" s="17"/>
      <c r="R782" s="17"/>
      <c r="S782" s="17"/>
      <c r="T782" s="17"/>
    </row>
    <row r="783" customFormat="false" ht="15" hidden="false" customHeight="true" outlineLevel="0" collapsed="false">
      <c r="B783" s="17"/>
      <c r="E783" s="17"/>
      <c r="F783" s="17"/>
      <c r="G783" s="17"/>
      <c r="I783" s="17"/>
      <c r="M783" s="17"/>
      <c r="N783" s="17"/>
      <c r="O783" s="17"/>
      <c r="R783" s="17"/>
      <c r="S783" s="17"/>
      <c r="T783" s="17"/>
    </row>
    <row r="784" customFormat="false" ht="15" hidden="false" customHeight="true" outlineLevel="0" collapsed="false">
      <c r="B784" s="17"/>
      <c r="E784" s="17"/>
      <c r="F784" s="17"/>
      <c r="G784" s="17"/>
      <c r="I784" s="17"/>
      <c r="M784" s="17"/>
      <c r="N784" s="17"/>
      <c r="O784" s="17"/>
      <c r="R784" s="17"/>
      <c r="S784" s="17"/>
      <c r="T784" s="17"/>
    </row>
    <row r="785" customFormat="false" ht="15" hidden="false" customHeight="true" outlineLevel="0" collapsed="false">
      <c r="B785" s="17"/>
      <c r="E785" s="17"/>
      <c r="F785" s="17"/>
      <c r="G785" s="17"/>
      <c r="I785" s="17"/>
      <c r="M785" s="17"/>
      <c r="N785" s="17"/>
      <c r="O785" s="17"/>
      <c r="R785" s="17"/>
      <c r="S785" s="17"/>
      <c r="T785" s="17"/>
    </row>
    <row r="786" customFormat="false" ht="15" hidden="false" customHeight="true" outlineLevel="0" collapsed="false">
      <c r="B786" s="17"/>
      <c r="E786" s="17"/>
      <c r="F786" s="17"/>
      <c r="G786" s="17"/>
      <c r="I786" s="17"/>
      <c r="M786" s="17"/>
      <c r="N786" s="17"/>
      <c r="O786" s="17"/>
      <c r="R786" s="17"/>
      <c r="S786" s="17"/>
      <c r="T786" s="17"/>
    </row>
    <row r="787" customFormat="false" ht="15" hidden="false" customHeight="true" outlineLevel="0" collapsed="false">
      <c r="B787" s="17"/>
      <c r="E787" s="17"/>
      <c r="F787" s="17"/>
      <c r="G787" s="17"/>
      <c r="I787" s="17"/>
      <c r="M787" s="17"/>
      <c r="N787" s="17"/>
      <c r="O787" s="17"/>
      <c r="R787" s="17"/>
      <c r="S787" s="17"/>
      <c r="T787" s="17"/>
    </row>
    <row r="788" customFormat="false" ht="15" hidden="false" customHeight="true" outlineLevel="0" collapsed="false">
      <c r="B788" s="17"/>
      <c r="E788" s="17"/>
      <c r="F788" s="17"/>
      <c r="G788" s="17"/>
      <c r="I788" s="17"/>
      <c r="M788" s="17"/>
      <c r="N788" s="17"/>
      <c r="O788" s="17"/>
      <c r="R788" s="17"/>
      <c r="S788" s="17"/>
      <c r="T788" s="17"/>
    </row>
    <row r="789" customFormat="false" ht="15" hidden="false" customHeight="true" outlineLevel="0" collapsed="false">
      <c r="B789" s="17"/>
      <c r="E789" s="17"/>
      <c r="F789" s="17"/>
      <c r="G789" s="17"/>
      <c r="I789" s="17"/>
      <c r="M789" s="17"/>
      <c r="N789" s="17"/>
      <c r="O789" s="17"/>
      <c r="R789" s="17"/>
      <c r="S789" s="17"/>
      <c r="T789" s="17"/>
    </row>
    <row r="790" customFormat="false" ht="15" hidden="false" customHeight="true" outlineLevel="0" collapsed="false">
      <c r="B790" s="17"/>
      <c r="E790" s="17"/>
      <c r="F790" s="17"/>
      <c r="G790" s="17"/>
      <c r="I790" s="17"/>
      <c r="M790" s="17"/>
      <c r="N790" s="17"/>
      <c r="O790" s="17"/>
      <c r="R790" s="17"/>
      <c r="S790" s="17"/>
      <c r="T790" s="17"/>
    </row>
    <row r="791" customFormat="false" ht="15" hidden="false" customHeight="true" outlineLevel="0" collapsed="false">
      <c r="B791" s="17"/>
      <c r="E791" s="17"/>
      <c r="F791" s="17"/>
      <c r="G791" s="17"/>
      <c r="I791" s="17"/>
      <c r="M791" s="17"/>
      <c r="N791" s="17"/>
      <c r="O791" s="17"/>
      <c r="R791" s="17"/>
      <c r="S791" s="17"/>
      <c r="T791" s="17"/>
    </row>
    <row r="792" customFormat="false" ht="15" hidden="false" customHeight="true" outlineLevel="0" collapsed="false">
      <c r="B792" s="17"/>
      <c r="E792" s="17"/>
      <c r="F792" s="17"/>
      <c r="G792" s="17"/>
      <c r="I792" s="17"/>
      <c r="M792" s="17"/>
      <c r="N792" s="17"/>
      <c r="O792" s="17"/>
      <c r="R792" s="17"/>
      <c r="S792" s="17"/>
      <c r="T792" s="17"/>
    </row>
    <row r="793" customFormat="false" ht="15" hidden="false" customHeight="true" outlineLevel="0" collapsed="false">
      <c r="B793" s="17"/>
      <c r="E793" s="17"/>
      <c r="F793" s="17"/>
      <c r="G793" s="17"/>
      <c r="I793" s="17"/>
      <c r="M793" s="17"/>
      <c r="N793" s="17"/>
      <c r="O793" s="17"/>
      <c r="R793" s="17"/>
      <c r="S793" s="17"/>
      <c r="T793" s="17"/>
    </row>
    <row r="794" customFormat="false" ht="15" hidden="false" customHeight="true" outlineLevel="0" collapsed="false">
      <c r="B794" s="17"/>
      <c r="E794" s="17"/>
      <c r="F794" s="17"/>
      <c r="G794" s="17"/>
      <c r="I794" s="17"/>
      <c r="M794" s="17"/>
      <c r="N794" s="17"/>
      <c r="O794" s="17"/>
      <c r="R794" s="17"/>
      <c r="S794" s="17"/>
      <c r="T794" s="17"/>
    </row>
    <row r="795" customFormat="false" ht="15" hidden="false" customHeight="true" outlineLevel="0" collapsed="false">
      <c r="B795" s="17"/>
      <c r="E795" s="17"/>
      <c r="F795" s="17"/>
      <c r="G795" s="17"/>
      <c r="I795" s="17"/>
      <c r="M795" s="17"/>
      <c r="N795" s="17"/>
      <c r="O795" s="17"/>
      <c r="R795" s="17"/>
      <c r="S795" s="17"/>
      <c r="T795" s="17"/>
    </row>
    <row r="796" customFormat="false" ht="15" hidden="false" customHeight="true" outlineLevel="0" collapsed="false">
      <c r="B796" s="17"/>
      <c r="E796" s="17"/>
      <c r="F796" s="17"/>
      <c r="G796" s="17"/>
      <c r="I796" s="17"/>
      <c r="M796" s="17"/>
      <c r="N796" s="17"/>
      <c r="O796" s="17"/>
      <c r="R796" s="17"/>
      <c r="S796" s="17"/>
      <c r="T796" s="17"/>
    </row>
    <row r="797" customFormat="false" ht="15" hidden="false" customHeight="true" outlineLevel="0" collapsed="false">
      <c r="B797" s="17"/>
      <c r="E797" s="17"/>
      <c r="F797" s="17"/>
      <c r="G797" s="17"/>
      <c r="I797" s="17"/>
      <c r="M797" s="17"/>
      <c r="N797" s="17"/>
      <c r="O797" s="17"/>
      <c r="R797" s="17"/>
      <c r="S797" s="17"/>
      <c r="T797" s="17"/>
    </row>
    <row r="798" customFormat="false" ht="15" hidden="false" customHeight="true" outlineLevel="0" collapsed="false">
      <c r="B798" s="17"/>
      <c r="E798" s="17"/>
      <c r="F798" s="17"/>
      <c r="G798" s="17"/>
      <c r="I798" s="17"/>
      <c r="M798" s="17"/>
      <c r="N798" s="17"/>
      <c r="O798" s="17"/>
      <c r="R798" s="17"/>
      <c r="S798" s="17"/>
      <c r="T798" s="17"/>
    </row>
    <row r="799" customFormat="false" ht="15" hidden="false" customHeight="true" outlineLevel="0" collapsed="false">
      <c r="B799" s="17"/>
      <c r="E799" s="17"/>
      <c r="F799" s="17"/>
      <c r="G799" s="17"/>
      <c r="I799" s="17"/>
      <c r="M799" s="17"/>
      <c r="N799" s="17"/>
      <c r="O799" s="17"/>
      <c r="R799" s="17"/>
      <c r="S799" s="17"/>
      <c r="T799" s="17"/>
    </row>
    <row r="800" customFormat="false" ht="15" hidden="false" customHeight="true" outlineLevel="0" collapsed="false">
      <c r="B800" s="17"/>
      <c r="E800" s="17"/>
      <c r="F800" s="17"/>
      <c r="G800" s="17"/>
      <c r="I800" s="17"/>
      <c r="M800" s="17"/>
      <c r="N800" s="17"/>
      <c r="O800" s="17"/>
      <c r="R800" s="17"/>
      <c r="S800" s="17"/>
      <c r="T800" s="17"/>
    </row>
    <row r="801" customFormat="false" ht="15" hidden="false" customHeight="true" outlineLevel="0" collapsed="false">
      <c r="B801" s="17"/>
      <c r="E801" s="17"/>
      <c r="F801" s="17"/>
      <c r="G801" s="17"/>
      <c r="I801" s="17"/>
      <c r="M801" s="17"/>
      <c r="N801" s="17"/>
      <c r="O801" s="17"/>
      <c r="R801" s="17"/>
      <c r="S801" s="17"/>
      <c r="T801" s="17"/>
    </row>
    <row r="802" customFormat="false" ht="15" hidden="false" customHeight="true" outlineLevel="0" collapsed="false">
      <c r="B802" s="17"/>
      <c r="E802" s="17"/>
      <c r="F802" s="17"/>
      <c r="G802" s="17"/>
      <c r="I802" s="17"/>
      <c r="M802" s="17"/>
      <c r="N802" s="17"/>
      <c r="O802" s="17"/>
      <c r="R802" s="17"/>
      <c r="S802" s="17"/>
      <c r="T802" s="17"/>
    </row>
    <row r="803" customFormat="false" ht="15" hidden="false" customHeight="true" outlineLevel="0" collapsed="false">
      <c r="B803" s="17"/>
      <c r="E803" s="17"/>
      <c r="F803" s="17"/>
      <c r="G803" s="17"/>
      <c r="I803" s="17"/>
      <c r="M803" s="17"/>
      <c r="N803" s="17"/>
      <c r="O803" s="17"/>
      <c r="R803" s="17"/>
      <c r="S803" s="17"/>
      <c r="T803" s="17"/>
    </row>
    <row r="804" customFormat="false" ht="15" hidden="false" customHeight="true" outlineLevel="0" collapsed="false">
      <c r="B804" s="17"/>
      <c r="E804" s="17"/>
      <c r="F804" s="17"/>
      <c r="G804" s="17"/>
      <c r="I804" s="17"/>
      <c r="M804" s="17"/>
      <c r="N804" s="17"/>
      <c r="O804" s="17"/>
      <c r="R804" s="17"/>
      <c r="S804" s="17"/>
      <c r="T804" s="17"/>
    </row>
    <row r="805" customFormat="false" ht="15" hidden="false" customHeight="true" outlineLevel="0" collapsed="false">
      <c r="B805" s="17"/>
      <c r="E805" s="17"/>
      <c r="F805" s="17"/>
      <c r="G805" s="17"/>
      <c r="I805" s="17"/>
      <c r="M805" s="17"/>
      <c r="N805" s="17"/>
      <c r="O805" s="17"/>
      <c r="R805" s="17"/>
      <c r="S805" s="17"/>
      <c r="T805" s="17"/>
    </row>
    <row r="806" customFormat="false" ht="15" hidden="false" customHeight="true" outlineLevel="0" collapsed="false">
      <c r="B806" s="17"/>
      <c r="E806" s="17"/>
      <c r="F806" s="17"/>
      <c r="G806" s="17"/>
      <c r="I806" s="17"/>
      <c r="M806" s="17"/>
      <c r="N806" s="17"/>
      <c r="O806" s="17"/>
      <c r="R806" s="17"/>
      <c r="S806" s="17"/>
      <c r="T806" s="17"/>
    </row>
    <row r="807" customFormat="false" ht="15" hidden="false" customHeight="true" outlineLevel="0" collapsed="false">
      <c r="B807" s="17"/>
      <c r="E807" s="17"/>
      <c r="F807" s="17"/>
      <c r="G807" s="17"/>
      <c r="I807" s="17"/>
      <c r="M807" s="17"/>
      <c r="N807" s="17"/>
      <c r="O807" s="17"/>
      <c r="R807" s="17"/>
      <c r="S807" s="17"/>
      <c r="T807" s="17"/>
    </row>
    <row r="808" customFormat="false" ht="15" hidden="false" customHeight="true" outlineLevel="0" collapsed="false">
      <c r="B808" s="17"/>
      <c r="E808" s="17"/>
      <c r="F808" s="17"/>
      <c r="G808" s="17"/>
      <c r="I808" s="17"/>
      <c r="M808" s="17"/>
      <c r="N808" s="17"/>
      <c r="O808" s="17"/>
      <c r="R808" s="17"/>
      <c r="S808" s="17"/>
      <c r="T808" s="17"/>
    </row>
    <row r="809" customFormat="false" ht="15" hidden="false" customHeight="true" outlineLevel="0" collapsed="false">
      <c r="B809" s="17"/>
      <c r="E809" s="17"/>
      <c r="F809" s="17"/>
      <c r="G809" s="17"/>
      <c r="I809" s="17"/>
      <c r="M809" s="17"/>
      <c r="N809" s="17"/>
      <c r="O809" s="17"/>
      <c r="R809" s="17"/>
      <c r="S809" s="17"/>
      <c r="T809" s="17"/>
    </row>
    <row r="810" customFormat="false" ht="15" hidden="false" customHeight="true" outlineLevel="0" collapsed="false">
      <c r="B810" s="17"/>
      <c r="E810" s="17"/>
      <c r="F810" s="17"/>
      <c r="G810" s="17"/>
      <c r="I810" s="17"/>
      <c r="M810" s="17"/>
      <c r="N810" s="17"/>
      <c r="O810" s="17"/>
      <c r="R810" s="17"/>
      <c r="S810" s="17"/>
      <c r="T810" s="17"/>
    </row>
    <row r="811" customFormat="false" ht="15" hidden="false" customHeight="true" outlineLevel="0" collapsed="false">
      <c r="B811" s="17"/>
      <c r="E811" s="17"/>
      <c r="F811" s="17"/>
      <c r="G811" s="17"/>
      <c r="I811" s="17"/>
      <c r="M811" s="17"/>
      <c r="N811" s="17"/>
      <c r="O811" s="17"/>
      <c r="R811" s="17"/>
      <c r="S811" s="17"/>
      <c r="T811" s="17"/>
    </row>
    <row r="812" customFormat="false" ht="15" hidden="false" customHeight="true" outlineLevel="0" collapsed="false">
      <c r="B812" s="17"/>
      <c r="E812" s="17"/>
      <c r="F812" s="17"/>
      <c r="G812" s="17"/>
      <c r="I812" s="17"/>
      <c r="M812" s="17"/>
      <c r="N812" s="17"/>
      <c r="O812" s="17"/>
      <c r="R812" s="17"/>
      <c r="S812" s="17"/>
      <c r="T812" s="17"/>
    </row>
    <row r="813" customFormat="false" ht="15" hidden="false" customHeight="true" outlineLevel="0" collapsed="false">
      <c r="B813" s="17"/>
      <c r="E813" s="17"/>
      <c r="F813" s="17"/>
      <c r="G813" s="17"/>
      <c r="I813" s="17"/>
      <c r="M813" s="17"/>
      <c r="N813" s="17"/>
      <c r="O813" s="17"/>
      <c r="R813" s="17"/>
      <c r="S813" s="17"/>
      <c r="T813" s="17"/>
    </row>
    <row r="814" customFormat="false" ht="15" hidden="false" customHeight="true" outlineLevel="0" collapsed="false">
      <c r="B814" s="17"/>
      <c r="E814" s="17"/>
      <c r="F814" s="17"/>
      <c r="G814" s="17"/>
      <c r="I814" s="17"/>
      <c r="M814" s="17"/>
      <c r="N814" s="17"/>
      <c r="O814" s="17"/>
      <c r="R814" s="17"/>
      <c r="S814" s="17"/>
      <c r="T814" s="17"/>
    </row>
    <row r="815" customFormat="false" ht="15" hidden="false" customHeight="true" outlineLevel="0" collapsed="false">
      <c r="B815" s="17"/>
      <c r="E815" s="17"/>
      <c r="F815" s="17"/>
      <c r="G815" s="17"/>
      <c r="I815" s="17"/>
      <c r="M815" s="17"/>
      <c r="N815" s="17"/>
      <c r="O815" s="17"/>
      <c r="R815" s="17"/>
      <c r="S815" s="17"/>
      <c r="T815" s="17"/>
    </row>
    <row r="816" customFormat="false" ht="15" hidden="false" customHeight="true" outlineLevel="0" collapsed="false">
      <c r="B816" s="17"/>
      <c r="E816" s="17"/>
      <c r="F816" s="17"/>
      <c r="G816" s="17"/>
      <c r="I816" s="17"/>
      <c r="M816" s="17"/>
      <c r="N816" s="17"/>
      <c r="O816" s="17"/>
      <c r="R816" s="17"/>
      <c r="S816" s="17"/>
      <c r="T816" s="17"/>
    </row>
    <row r="817" customFormat="false" ht="15" hidden="false" customHeight="true" outlineLevel="0" collapsed="false">
      <c r="B817" s="17"/>
      <c r="E817" s="17"/>
      <c r="F817" s="17"/>
      <c r="G817" s="17"/>
      <c r="I817" s="17"/>
      <c r="M817" s="17"/>
      <c r="N817" s="17"/>
      <c r="O817" s="17"/>
      <c r="R817" s="17"/>
      <c r="S817" s="17"/>
      <c r="T817" s="17"/>
    </row>
    <row r="818" customFormat="false" ht="15" hidden="false" customHeight="true" outlineLevel="0" collapsed="false">
      <c r="B818" s="17"/>
      <c r="E818" s="17"/>
      <c r="F818" s="17"/>
      <c r="G818" s="17"/>
      <c r="I818" s="17"/>
      <c r="M818" s="17"/>
      <c r="N818" s="17"/>
      <c r="O818" s="17"/>
      <c r="R818" s="17"/>
      <c r="S818" s="17"/>
      <c r="T818" s="17"/>
    </row>
    <row r="819" customFormat="false" ht="15" hidden="false" customHeight="true" outlineLevel="0" collapsed="false">
      <c r="B819" s="17"/>
      <c r="E819" s="17"/>
      <c r="F819" s="17"/>
      <c r="G819" s="17"/>
      <c r="I819" s="17"/>
      <c r="M819" s="17"/>
      <c r="N819" s="17"/>
      <c r="O819" s="17"/>
      <c r="R819" s="17"/>
      <c r="S819" s="17"/>
      <c r="T819" s="17"/>
    </row>
    <row r="820" customFormat="false" ht="15" hidden="false" customHeight="true" outlineLevel="0" collapsed="false">
      <c r="B820" s="17"/>
      <c r="E820" s="17"/>
      <c r="F820" s="17"/>
      <c r="G820" s="17"/>
      <c r="I820" s="17"/>
      <c r="M820" s="17"/>
      <c r="N820" s="17"/>
      <c r="O820" s="17"/>
      <c r="R820" s="17"/>
      <c r="S820" s="17"/>
      <c r="T820" s="17"/>
    </row>
    <row r="821" customFormat="false" ht="15" hidden="false" customHeight="true" outlineLevel="0" collapsed="false">
      <c r="B821" s="17"/>
      <c r="E821" s="17"/>
      <c r="F821" s="17"/>
      <c r="G821" s="17"/>
      <c r="I821" s="17"/>
      <c r="M821" s="17"/>
      <c r="N821" s="17"/>
      <c r="O821" s="17"/>
      <c r="R821" s="17"/>
      <c r="S821" s="17"/>
      <c r="T821" s="17"/>
    </row>
    <row r="822" customFormat="false" ht="15" hidden="false" customHeight="true" outlineLevel="0" collapsed="false">
      <c r="B822" s="17"/>
      <c r="E822" s="17"/>
      <c r="F822" s="17"/>
      <c r="G822" s="17"/>
      <c r="I822" s="17"/>
      <c r="M822" s="17"/>
      <c r="N822" s="17"/>
      <c r="O822" s="17"/>
      <c r="R822" s="17"/>
      <c r="S822" s="17"/>
      <c r="T822" s="17"/>
    </row>
    <row r="823" customFormat="false" ht="15" hidden="false" customHeight="true" outlineLevel="0" collapsed="false">
      <c r="B823" s="17"/>
      <c r="E823" s="17"/>
      <c r="F823" s="17"/>
      <c r="G823" s="17"/>
      <c r="I823" s="17"/>
      <c r="M823" s="17"/>
      <c r="N823" s="17"/>
      <c r="O823" s="17"/>
      <c r="R823" s="17"/>
      <c r="S823" s="17"/>
      <c r="T823" s="17"/>
    </row>
    <row r="824" customFormat="false" ht="15" hidden="false" customHeight="true" outlineLevel="0" collapsed="false">
      <c r="B824" s="17"/>
      <c r="E824" s="17"/>
      <c r="F824" s="17"/>
      <c r="G824" s="17"/>
      <c r="I824" s="17"/>
      <c r="M824" s="17"/>
      <c r="N824" s="17"/>
      <c r="O824" s="17"/>
      <c r="R824" s="17"/>
      <c r="S824" s="17"/>
      <c r="T824" s="17"/>
    </row>
    <row r="825" customFormat="false" ht="15" hidden="false" customHeight="true" outlineLevel="0" collapsed="false">
      <c r="B825" s="17"/>
      <c r="E825" s="17"/>
      <c r="F825" s="17"/>
      <c r="G825" s="17"/>
      <c r="I825" s="17"/>
      <c r="M825" s="17"/>
      <c r="N825" s="17"/>
      <c r="O825" s="17"/>
      <c r="R825" s="17"/>
      <c r="S825" s="17"/>
      <c r="T825" s="17"/>
    </row>
    <row r="826" customFormat="false" ht="15" hidden="false" customHeight="true" outlineLevel="0" collapsed="false">
      <c r="B826" s="17"/>
      <c r="E826" s="17"/>
      <c r="F826" s="17"/>
      <c r="G826" s="17"/>
      <c r="I826" s="17"/>
      <c r="M826" s="17"/>
      <c r="N826" s="17"/>
      <c r="O826" s="17"/>
      <c r="R826" s="17"/>
      <c r="S826" s="17"/>
      <c r="T826" s="17"/>
    </row>
    <row r="827" customFormat="false" ht="15" hidden="false" customHeight="true" outlineLevel="0" collapsed="false">
      <c r="B827" s="17"/>
      <c r="E827" s="17"/>
      <c r="F827" s="17"/>
      <c r="G827" s="17"/>
      <c r="I827" s="17"/>
      <c r="M827" s="17"/>
      <c r="N827" s="17"/>
      <c r="O827" s="17"/>
      <c r="R827" s="17"/>
      <c r="S827" s="17"/>
      <c r="T827" s="17"/>
    </row>
    <row r="828" customFormat="false" ht="15" hidden="false" customHeight="true" outlineLevel="0" collapsed="false">
      <c r="B828" s="17"/>
      <c r="E828" s="17"/>
      <c r="F828" s="17"/>
      <c r="G828" s="17"/>
      <c r="I828" s="17"/>
      <c r="M828" s="17"/>
      <c r="N828" s="17"/>
      <c r="O828" s="17"/>
      <c r="R828" s="17"/>
      <c r="S828" s="17"/>
      <c r="T828" s="17"/>
    </row>
    <row r="829" customFormat="false" ht="15" hidden="false" customHeight="true" outlineLevel="0" collapsed="false">
      <c r="B829" s="17"/>
      <c r="E829" s="17"/>
      <c r="F829" s="17"/>
      <c r="G829" s="17"/>
      <c r="I829" s="17"/>
      <c r="M829" s="17"/>
      <c r="N829" s="17"/>
      <c r="O829" s="17"/>
      <c r="R829" s="17"/>
      <c r="S829" s="17"/>
      <c r="T829" s="17"/>
    </row>
    <row r="830" customFormat="false" ht="15" hidden="false" customHeight="true" outlineLevel="0" collapsed="false">
      <c r="B830" s="17"/>
      <c r="E830" s="17"/>
      <c r="F830" s="17"/>
      <c r="G830" s="17"/>
      <c r="I830" s="17"/>
      <c r="M830" s="17"/>
      <c r="N830" s="17"/>
      <c r="O830" s="17"/>
      <c r="R830" s="17"/>
      <c r="S830" s="17"/>
      <c r="T830" s="17"/>
    </row>
    <row r="831" customFormat="false" ht="15" hidden="false" customHeight="true" outlineLevel="0" collapsed="false">
      <c r="B831" s="17"/>
      <c r="E831" s="17"/>
      <c r="F831" s="17"/>
      <c r="G831" s="17"/>
      <c r="I831" s="17"/>
      <c r="M831" s="17"/>
      <c r="N831" s="17"/>
      <c r="O831" s="17"/>
      <c r="R831" s="17"/>
      <c r="S831" s="17"/>
      <c r="T831" s="17"/>
    </row>
    <row r="832" customFormat="false" ht="15" hidden="false" customHeight="true" outlineLevel="0" collapsed="false">
      <c r="B832" s="17"/>
      <c r="E832" s="17"/>
      <c r="F832" s="17"/>
      <c r="G832" s="17"/>
      <c r="I832" s="17"/>
      <c r="M832" s="17"/>
      <c r="N832" s="17"/>
      <c r="O832" s="17"/>
      <c r="R832" s="17"/>
      <c r="S832" s="17"/>
      <c r="T832" s="17"/>
    </row>
    <row r="833" customFormat="false" ht="15" hidden="false" customHeight="true" outlineLevel="0" collapsed="false">
      <c r="B833" s="17"/>
      <c r="E833" s="17"/>
      <c r="F833" s="17"/>
      <c r="G833" s="17"/>
      <c r="I833" s="17"/>
      <c r="M833" s="17"/>
      <c r="N833" s="17"/>
      <c r="O833" s="17"/>
      <c r="R833" s="17"/>
      <c r="S833" s="17"/>
      <c r="T833" s="17"/>
    </row>
    <row r="834" customFormat="false" ht="15" hidden="false" customHeight="true" outlineLevel="0" collapsed="false">
      <c r="B834" s="17"/>
      <c r="E834" s="17"/>
      <c r="F834" s="17"/>
      <c r="G834" s="17"/>
      <c r="I834" s="17"/>
      <c r="M834" s="17"/>
      <c r="N834" s="17"/>
      <c r="O834" s="17"/>
      <c r="R834" s="17"/>
      <c r="S834" s="17"/>
      <c r="T834" s="17"/>
    </row>
    <row r="835" customFormat="false" ht="15" hidden="false" customHeight="true" outlineLevel="0" collapsed="false">
      <c r="B835" s="17"/>
      <c r="E835" s="17"/>
      <c r="F835" s="17"/>
      <c r="G835" s="17"/>
      <c r="I835" s="17"/>
      <c r="M835" s="17"/>
      <c r="N835" s="17"/>
      <c r="O835" s="17"/>
      <c r="R835" s="17"/>
      <c r="S835" s="17"/>
      <c r="T835" s="17"/>
    </row>
    <row r="836" customFormat="false" ht="15" hidden="false" customHeight="true" outlineLevel="0" collapsed="false">
      <c r="B836" s="17"/>
      <c r="E836" s="17"/>
      <c r="F836" s="17"/>
      <c r="G836" s="17"/>
      <c r="I836" s="17"/>
      <c r="M836" s="17"/>
      <c r="N836" s="17"/>
      <c r="O836" s="17"/>
      <c r="R836" s="17"/>
      <c r="S836" s="17"/>
      <c r="T836" s="17"/>
    </row>
    <row r="837" customFormat="false" ht="15" hidden="false" customHeight="true" outlineLevel="0" collapsed="false">
      <c r="B837" s="17"/>
      <c r="E837" s="17"/>
      <c r="F837" s="17"/>
      <c r="G837" s="17"/>
      <c r="I837" s="17"/>
      <c r="M837" s="17"/>
      <c r="N837" s="17"/>
      <c r="O837" s="17"/>
      <c r="R837" s="17"/>
      <c r="S837" s="17"/>
      <c r="T837" s="17"/>
    </row>
    <row r="838" customFormat="false" ht="15" hidden="false" customHeight="true" outlineLevel="0" collapsed="false">
      <c r="B838" s="17"/>
      <c r="E838" s="17"/>
      <c r="F838" s="17"/>
      <c r="G838" s="17"/>
      <c r="I838" s="17"/>
      <c r="M838" s="17"/>
      <c r="N838" s="17"/>
      <c r="O838" s="17"/>
      <c r="R838" s="17"/>
      <c r="S838" s="17"/>
      <c r="T838" s="17"/>
    </row>
    <row r="839" customFormat="false" ht="15" hidden="false" customHeight="true" outlineLevel="0" collapsed="false">
      <c r="B839" s="17"/>
      <c r="E839" s="17"/>
      <c r="F839" s="17"/>
      <c r="G839" s="17"/>
      <c r="I839" s="17"/>
      <c r="M839" s="17"/>
      <c r="N839" s="17"/>
      <c r="O839" s="17"/>
      <c r="R839" s="17"/>
      <c r="S839" s="17"/>
      <c r="T839" s="17"/>
    </row>
    <row r="840" customFormat="false" ht="15" hidden="false" customHeight="true" outlineLevel="0" collapsed="false">
      <c r="B840" s="17"/>
      <c r="E840" s="17"/>
      <c r="F840" s="17"/>
      <c r="G840" s="17"/>
      <c r="I840" s="17"/>
      <c r="M840" s="17"/>
      <c r="N840" s="17"/>
      <c r="O840" s="17"/>
      <c r="R840" s="17"/>
      <c r="S840" s="17"/>
      <c r="T840" s="17"/>
    </row>
    <row r="841" customFormat="false" ht="15" hidden="false" customHeight="true" outlineLevel="0" collapsed="false">
      <c r="B841" s="17"/>
      <c r="E841" s="17"/>
      <c r="F841" s="17"/>
      <c r="G841" s="17"/>
      <c r="I841" s="17"/>
      <c r="M841" s="17"/>
      <c r="N841" s="17"/>
      <c r="O841" s="17"/>
      <c r="R841" s="17"/>
      <c r="S841" s="17"/>
      <c r="T841" s="17"/>
    </row>
    <row r="842" customFormat="false" ht="15" hidden="false" customHeight="true" outlineLevel="0" collapsed="false">
      <c r="B842" s="17"/>
      <c r="E842" s="17"/>
      <c r="F842" s="17"/>
      <c r="G842" s="17"/>
      <c r="I842" s="17"/>
      <c r="M842" s="17"/>
      <c r="N842" s="17"/>
      <c r="O842" s="17"/>
      <c r="R842" s="17"/>
      <c r="S842" s="17"/>
      <c r="T842" s="17"/>
    </row>
    <row r="843" customFormat="false" ht="15" hidden="false" customHeight="true" outlineLevel="0" collapsed="false">
      <c r="B843" s="17"/>
      <c r="E843" s="17"/>
      <c r="F843" s="17"/>
      <c r="G843" s="17"/>
      <c r="I843" s="17"/>
      <c r="M843" s="17"/>
      <c r="N843" s="17"/>
      <c r="O843" s="17"/>
      <c r="R843" s="17"/>
      <c r="S843" s="17"/>
      <c r="T843" s="17"/>
    </row>
    <row r="844" customFormat="false" ht="15" hidden="false" customHeight="true" outlineLevel="0" collapsed="false">
      <c r="B844" s="17"/>
      <c r="E844" s="17"/>
      <c r="F844" s="17"/>
      <c r="G844" s="17"/>
      <c r="I844" s="17"/>
      <c r="M844" s="17"/>
      <c r="N844" s="17"/>
      <c r="O844" s="17"/>
      <c r="R844" s="17"/>
      <c r="S844" s="17"/>
      <c r="T844" s="17"/>
    </row>
    <row r="845" customFormat="false" ht="15" hidden="false" customHeight="true" outlineLevel="0" collapsed="false">
      <c r="B845" s="17"/>
      <c r="E845" s="17"/>
      <c r="F845" s="17"/>
      <c r="G845" s="17"/>
      <c r="I845" s="17"/>
      <c r="M845" s="17"/>
      <c r="N845" s="17"/>
      <c r="O845" s="17"/>
      <c r="R845" s="17"/>
      <c r="S845" s="17"/>
      <c r="T845" s="17"/>
    </row>
    <row r="846" customFormat="false" ht="15" hidden="false" customHeight="true" outlineLevel="0" collapsed="false">
      <c r="B846" s="17"/>
      <c r="E846" s="17"/>
      <c r="F846" s="17"/>
      <c r="G846" s="17"/>
      <c r="I846" s="17"/>
      <c r="M846" s="17"/>
      <c r="N846" s="17"/>
      <c r="O846" s="17"/>
      <c r="R846" s="17"/>
      <c r="S846" s="17"/>
      <c r="T846" s="17"/>
    </row>
    <row r="847" customFormat="false" ht="15" hidden="false" customHeight="true" outlineLevel="0" collapsed="false">
      <c r="B847" s="17"/>
      <c r="E847" s="17"/>
      <c r="F847" s="17"/>
      <c r="G847" s="17"/>
      <c r="I847" s="17"/>
      <c r="M847" s="17"/>
      <c r="N847" s="17"/>
      <c r="O847" s="17"/>
      <c r="R847" s="17"/>
      <c r="S847" s="17"/>
      <c r="T847" s="17"/>
    </row>
    <row r="848" customFormat="false" ht="15" hidden="false" customHeight="true" outlineLevel="0" collapsed="false">
      <c r="B848" s="17"/>
      <c r="E848" s="17"/>
      <c r="F848" s="17"/>
      <c r="G848" s="17"/>
      <c r="I848" s="17"/>
      <c r="M848" s="17"/>
      <c r="N848" s="17"/>
      <c r="O848" s="17"/>
      <c r="R848" s="17"/>
      <c r="S848" s="17"/>
      <c r="T848" s="17"/>
    </row>
    <row r="849" customFormat="false" ht="15" hidden="false" customHeight="true" outlineLevel="0" collapsed="false">
      <c r="B849" s="17"/>
      <c r="E849" s="17"/>
      <c r="F849" s="17"/>
      <c r="G849" s="17"/>
      <c r="I849" s="17"/>
      <c r="M849" s="17"/>
      <c r="N849" s="17"/>
      <c r="O849" s="17"/>
      <c r="R849" s="17"/>
      <c r="S849" s="17"/>
      <c r="T849" s="17"/>
    </row>
    <row r="850" customFormat="false" ht="15" hidden="false" customHeight="true" outlineLevel="0" collapsed="false">
      <c r="B850" s="17"/>
      <c r="E850" s="17"/>
      <c r="F850" s="17"/>
      <c r="G850" s="17"/>
      <c r="I850" s="17"/>
      <c r="M850" s="17"/>
      <c r="N850" s="17"/>
      <c r="O850" s="17"/>
      <c r="R850" s="17"/>
      <c r="S850" s="17"/>
      <c r="T850" s="17"/>
    </row>
    <row r="851" customFormat="false" ht="15" hidden="false" customHeight="true" outlineLevel="0" collapsed="false">
      <c r="B851" s="17"/>
      <c r="E851" s="17"/>
      <c r="F851" s="17"/>
      <c r="G851" s="17"/>
      <c r="I851" s="17"/>
      <c r="M851" s="17"/>
      <c r="N851" s="17"/>
      <c r="O851" s="17"/>
      <c r="R851" s="17"/>
      <c r="S851" s="17"/>
      <c r="T851" s="17"/>
    </row>
    <row r="852" customFormat="false" ht="15" hidden="false" customHeight="true" outlineLevel="0" collapsed="false">
      <c r="B852" s="17"/>
      <c r="E852" s="17"/>
      <c r="F852" s="17"/>
      <c r="G852" s="17"/>
      <c r="I852" s="17"/>
      <c r="M852" s="17"/>
      <c r="N852" s="17"/>
      <c r="O852" s="17"/>
      <c r="R852" s="17"/>
      <c r="S852" s="17"/>
      <c r="T852" s="17"/>
    </row>
    <row r="853" customFormat="false" ht="15" hidden="false" customHeight="true" outlineLevel="0" collapsed="false">
      <c r="B853" s="17"/>
      <c r="E853" s="17"/>
      <c r="F853" s="17"/>
      <c r="G853" s="17"/>
      <c r="I853" s="17"/>
      <c r="M853" s="17"/>
      <c r="N853" s="17"/>
      <c r="O853" s="17"/>
      <c r="R853" s="17"/>
      <c r="S853" s="17"/>
      <c r="T853" s="17"/>
    </row>
    <row r="854" customFormat="false" ht="15" hidden="false" customHeight="true" outlineLevel="0" collapsed="false">
      <c r="B854" s="17"/>
      <c r="E854" s="17"/>
      <c r="F854" s="17"/>
      <c r="G854" s="17"/>
      <c r="I854" s="17"/>
      <c r="M854" s="17"/>
      <c r="N854" s="17"/>
      <c r="O854" s="17"/>
      <c r="R854" s="17"/>
      <c r="S854" s="17"/>
      <c r="T854" s="17"/>
    </row>
    <row r="855" customFormat="false" ht="15" hidden="false" customHeight="true" outlineLevel="0" collapsed="false">
      <c r="B855" s="17"/>
      <c r="E855" s="17"/>
      <c r="F855" s="17"/>
      <c r="G855" s="17"/>
      <c r="I855" s="17"/>
      <c r="M855" s="17"/>
      <c r="N855" s="17"/>
      <c r="O855" s="17"/>
      <c r="R855" s="17"/>
      <c r="S855" s="17"/>
      <c r="T855" s="17"/>
    </row>
    <row r="856" customFormat="false" ht="15" hidden="false" customHeight="true" outlineLevel="0" collapsed="false">
      <c r="B856" s="17"/>
      <c r="E856" s="17"/>
      <c r="F856" s="17"/>
      <c r="G856" s="17"/>
      <c r="I856" s="17"/>
      <c r="M856" s="17"/>
      <c r="N856" s="17"/>
      <c r="O856" s="17"/>
      <c r="R856" s="17"/>
      <c r="S856" s="17"/>
      <c r="T856" s="17"/>
    </row>
    <row r="857" customFormat="false" ht="15" hidden="false" customHeight="true" outlineLevel="0" collapsed="false">
      <c r="B857" s="17"/>
      <c r="E857" s="17"/>
      <c r="F857" s="17"/>
      <c r="G857" s="17"/>
      <c r="I857" s="17"/>
      <c r="M857" s="17"/>
      <c r="N857" s="17"/>
      <c r="O857" s="17"/>
      <c r="R857" s="17"/>
      <c r="S857" s="17"/>
      <c r="T857" s="17"/>
    </row>
    <row r="858" customFormat="false" ht="15" hidden="false" customHeight="true" outlineLevel="0" collapsed="false">
      <c r="B858" s="17"/>
      <c r="E858" s="17"/>
      <c r="F858" s="17"/>
      <c r="G858" s="17"/>
      <c r="I858" s="17"/>
      <c r="M858" s="17"/>
      <c r="N858" s="17"/>
      <c r="O858" s="17"/>
      <c r="R858" s="17"/>
      <c r="S858" s="17"/>
      <c r="T858" s="17"/>
    </row>
    <row r="859" customFormat="false" ht="15" hidden="false" customHeight="true" outlineLevel="0" collapsed="false">
      <c r="B859" s="17"/>
      <c r="E859" s="17"/>
      <c r="F859" s="17"/>
      <c r="G859" s="17"/>
      <c r="I859" s="17"/>
      <c r="M859" s="17"/>
      <c r="N859" s="17"/>
      <c r="O859" s="17"/>
      <c r="R859" s="17"/>
      <c r="S859" s="17"/>
      <c r="T859" s="17"/>
    </row>
    <row r="860" customFormat="false" ht="15" hidden="false" customHeight="true" outlineLevel="0" collapsed="false">
      <c r="B860" s="17"/>
      <c r="E860" s="17"/>
      <c r="F860" s="17"/>
      <c r="G860" s="17"/>
      <c r="I860" s="17"/>
      <c r="M860" s="17"/>
      <c r="N860" s="17"/>
      <c r="O860" s="17"/>
      <c r="R860" s="17"/>
      <c r="S860" s="17"/>
      <c r="T860" s="17"/>
    </row>
    <row r="861" customFormat="false" ht="15" hidden="false" customHeight="true" outlineLevel="0" collapsed="false">
      <c r="B861" s="17"/>
      <c r="E861" s="17"/>
      <c r="F861" s="17"/>
      <c r="G861" s="17"/>
      <c r="I861" s="17"/>
      <c r="M861" s="17"/>
      <c r="N861" s="17"/>
      <c r="O861" s="17"/>
      <c r="R861" s="17"/>
      <c r="S861" s="17"/>
      <c r="T861" s="17"/>
    </row>
    <row r="862" customFormat="false" ht="15" hidden="false" customHeight="true" outlineLevel="0" collapsed="false">
      <c r="B862" s="17"/>
      <c r="E862" s="17"/>
      <c r="F862" s="17"/>
      <c r="G862" s="17"/>
      <c r="I862" s="17"/>
      <c r="M862" s="17"/>
      <c r="N862" s="17"/>
      <c r="O862" s="17"/>
      <c r="R862" s="17"/>
      <c r="S862" s="17"/>
      <c r="T862" s="17"/>
    </row>
    <row r="863" customFormat="false" ht="15" hidden="false" customHeight="true" outlineLevel="0" collapsed="false">
      <c r="B863" s="17"/>
      <c r="E863" s="17"/>
      <c r="F863" s="17"/>
      <c r="G863" s="17"/>
      <c r="I863" s="17"/>
      <c r="M863" s="17"/>
      <c r="N863" s="17"/>
      <c r="O863" s="17"/>
      <c r="R863" s="17"/>
      <c r="S863" s="17"/>
      <c r="T863" s="17"/>
    </row>
    <row r="864" customFormat="false" ht="15" hidden="false" customHeight="true" outlineLevel="0" collapsed="false">
      <c r="B864" s="17"/>
      <c r="E864" s="17"/>
      <c r="F864" s="17"/>
      <c r="G864" s="17"/>
      <c r="I864" s="17"/>
      <c r="M864" s="17"/>
      <c r="N864" s="17"/>
      <c r="O864" s="17"/>
      <c r="R864" s="17"/>
      <c r="S864" s="17"/>
      <c r="T864" s="17"/>
    </row>
    <row r="865" customFormat="false" ht="15" hidden="false" customHeight="true" outlineLevel="0" collapsed="false">
      <c r="B865" s="17"/>
      <c r="E865" s="17"/>
      <c r="F865" s="17"/>
      <c r="G865" s="17"/>
      <c r="I865" s="17"/>
      <c r="M865" s="17"/>
      <c r="N865" s="17"/>
      <c r="O865" s="17"/>
      <c r="R865" s="17"/>
      <c r="S865" s="17"/>
      <c r="T865" s="17"/>
    </row>
    <row r="866" customFormat="false" ht="15" hidden="false" customHeight="true" outlineLevel="0" collapsed="false">
      <c r="B866" s="17"/>
      <c r="E866" s="17"/>
      <c r="F866" s="17"/>
      <c r="G866" s="17"/>
      <c r="I866" s="17"/>
      <c r="M866" s="17"/>
      <c r="N866" s="17"/>
      <c r="O866" s="17"/>
      <c r="R866" s="17"/>
      <c r="S866" s="17"/>
      <c r="T866" s="17"/>
    </row>
    <row r="867" customFormat="false" ht="15" hidden="false" customHeight="true" outlineLevel="0" collapsed="false">
      <c r="B867" s="17"/>
      <c r="E867" s="17"/>
      <c r="F867" s="17"/>
      <c r="G867" s="17"/>
      <c r="I867" s="17"/>
      <c r="M867" s="17"/>
      <c r="N867" s="17"/>
      <c r="O867" s="17"/>
      <c r="R867" s="17"/>
      <c r="S867" s="17"/>
      <c r="T867" s="17"/>
    </row>
    <row r="868" customFormat="false" ht="15" hidden="false" customHeight="true" outlineLevel="0" collapsed="false">
      <c r="B868" s="17"/>
      <c r="E868" s="17"/>
      <c r="F868" s="17"/>
      <c r="G868" s="17"/>
      <c r="I868" s="17"/>
      <c r="M868" s="17"/>
      <c r="N868" s="17"/>
      <c r="O868" s="17"/>
      <c r="R868" s="17"/>
      <c r="S868" s="17"/>
      <c r="T868" s="17"/>
    </row>
    <row r="869" customFormat="false" ht="15" hidden="false" customHeight="true" outlineLevel="0" collapsed="false">
      <c r="B869" s="17"/>
      <c r="E869" s="17"/>
      <c r="F869" s="17"/>
      <c r="G869" s="17"/>
      <c r="I869" s="17"/>
      <c r="M869" s="17"/>
      <c r="N869" s="17"/>
      <c r="O869" s="17"/>
      <c r="R869" s="17"/>
      <c r="S869" s="17"/>
      <c r="T869" s="17"/>
    </row>
    <row r="870" customFormat="false" ht="15" hidden="false" customHeight="true" outlineLevel="0" collapsed="false">
      <c r="B870" s="17"/>
      <c r="E870" s="17"/>
      <c r="F870" s="17"/>
      <c r="G870" s="17"/>
      <c r="I870" s="17"/>
      <c r="M870" s="17"/>
      <c r="N870" s="17"/>
      <c r="O870" s="17"/>
      <c r="R870" s="17"/>
      <c r="S870" s="17"/>
      <c r="T870" s="17"/>
    </row>
    <row r="871" customFormat="false" ht="15" hidden="false" customHeight="true" outlineLevel="0" collapsed="false">
      <c r="B871" s="17"/>
      <c r="E871" s="17"/>
      <c r="F871" s="17"/>
      <c r="G871" s="17"/>
      <c r="I871" s="17"/>
      <c r="M871" s="17"/>
      <c r="N871" s="17"/>
      <c r="O871" s="17"/>
      <c r="R871" s="17"/>
      <c r="S871" s="17"/>
      <c r="T871" s="17"/>
    </row>
    <row r="872" customFormat="false" ht="15" hidden="false" customHeight="true" outlineLevel="0" collapsed="false">
      <c r="B872" s="17"/>
      <c r="E872" s="17"/>
      <c r="F872" s="17"/>
      <c r="G872" s="17"/>
      <c r="I872" s="17"/>
      <c r="M872" s="17"/>
      <c r="N872" s="17"/>
      <c r="O872" s="17"/>
      <c r="R872" s="17"/>
      <c r="S872" s="17"/>
      <c r="T872" s="17"/>
    </row>
    <row r="873" customFormat="false" ht="15" hidden="false" customHeight="true" outlineLevel="0" collapsed="false">
      <c r="B873" s="17"/>
      <c r="E873" s="17"/>
      <c r="F873" s="17"/>
      <c r="G873" s="17"/>
      <c r="I873" s="17"/>
      <c r="M873" s="17"/>
      <c r="N873" s="17"/>
      <c r="O873" s="17"/>
      <c r="R873" s="17"/>
      <c r="S873" s="17"/>
      <c r="T873" s="17"/>
    </row>
    <row r="874" customFormat="false" ht="15" hidden="false" customHeight="true" outlineLevel="0" collapsed="false">
      <c r="B874" s="17"/>
      <c r="E874" s="17"/>
      <c r="F874" s="17"/>
      <c r="G874" s="17"/>
      <c r="I874" s="17"/>
      <c r="M874" s="17"/>
      <c r="N874" s="17"/>
      <c r="O874" s="17"/>
      <c r="R874" s="17"/>
      <c r="S874" s="17"/>
      <c r="T874" s="17"/>
    </row>
    <row r="875" customFormat="false" ht="15" hidden="false" customHeight="true" outlineLevel="0" collapsed="false">
      <c r="B875" s="17"/>
      <c r="E875" s="17"/>
      <c r="F875" s="17"/>
      <c r="G875" s="17"/>
      <c r="I875" s="17"/>
      <c r="M875" s="17"/>
      <c r="N875" s="17"/>
      <c r="O875" s="17"/>
      <c r="R875" s="17"/>
      <c r="S875" s="17"/>
      <c r="T875" s="17"/>
    </row>
    <row r="876" customFormat="false" ht="15" hidden="false" customHeight="true" outlineLevel="0" collapsed="false">
      <c r="B876" s="17"/>
      <c r="E876" s="17"/>
      <c r="F876" s="17"/>
      <c r="G876" s="17"/>
      <c r="I876" s="17"/>
      <c r="M876" s="17"/>
      <c r="N876" s="17"/>
      <c r="O876" s="17"/>
      <c r="R876" s="17"/>
      <c r="S876" s="17"/>
      <c r="T876" s="17"/>
    </row>
    <row r="877" customFormat="false" ht="15" hidden="false" customHeight="true" outlineLevel="0" collapsed="false">
      <c r="B877" s="17"/>
      <c r="E877" s="17"/>
      <c r="F877" s="17"/>
      <c r="G877" s="17"/>
      <c r="I877" s="17"/>
      <c r="M877" s="17"/>
      <c r="N877" s="17"/>
      <c r="O877" s="17"/>
      <c r="R877" s="17"/>
      <c r="S877" s="17"/>
      <c r="T877" s="17"/>
    </row>
    <row r="878" customFormat="false" ht="15" hidden="false" customHeight="true" outlineLevel="0" collapsed="false">
      <c r="B878" s="17"/>
      <c r="E878" s="17"/>
      <c r="F878" s="17"/>
      <c r="G878" s="17"/>
      <c r="I878" s="17"/>
      <c r="M878" s="17"/>
      <c r="N878" s="17"/>
      <c r="O878" s="17"/>
      <c r="R878" s="17"/>
      <c r="S878" s="17"/>
      <c r="T878" s="17"/>
    </row>
    <row r="879" customFormat="false" ht="15" hidden="false" customHeight="true" outlineLevel="0" collapsed="false">
      <c r="B879" s="17"/>
      <c r="E879" s="17"/>
      <c r="F879" s="17"/>
      <c r="G879" s="17"/>
      <c r="I879" s="17"/>
      <c r="M879" s="17"/>
      <c r="N879" s="17"/>
      <c r="O879" s="17"/>
      <c r="R879" s="17"/>
      <c r="S879" s="17"/>
      <c r="T879" s="17"/>
    </row>
    <row r="880" customFormat="false" ht="15" hidden="false" customHeight="true" outlineLevel="0" collapsed="false">
      <c r="B880" s="17"/>
      <c r="E880" s="17"/>
      <c r="F880" s="17"/>
      <c r="G880" s="17"/>
      <c r="I880" s="17"/>
      <c r="M880" s="17"/>
      <c r="N880" s="17"/>
      <c r="O880" s="17"/>
      <c r="R880" s="17"/>
      <c r="S880" s="17"/>
      <c r="T880" s="17"/>
    </row>
    <row r="881" customFormat="false" ht="15" hidden="false" customHeight="true" outlineLevel="0" collapsed="false">
      <c r="B881" s="17"/>
      <c r="E881" s="17"/>
      <c r="F881" s="17"/>
      <c r="G881" s="17"/>
      <c r="I881" s="17"/>
      <c r="M881" s="17"/>
      <c r="N881" s="17"/>
      <c r="O881" s="17"/>
      <c r="R881" s="17"/>
      <c r="S881" s="17"/>
      <c r="T881" s="17"/>
    </row>
    <row r="882" customFormat="false" ht="15" hidden="false" customHeight="true" outlineLevel="0" collapsed="false">
      <c r="B882" s="17"/>
      <c r="E882" s="17"/>
      <c r="F882" s="17"/>
      <c r="G882" s="17"/>
      <c r="I882" s="17"/>
      <c r="M882" s="17"/>
      <c r="N882" s="17"/>
      <c r="O882" s="17"/>
      <c r="R882" s="17"/>
      <c r="S882" s="17"/>
      <c r="T882" s="17"/>
    </row>
    <row r="883" customFormat="false" ht="15" hidden="false" customHeight="true" outlineLevel="0" collapsed="false">
      <c r="B883" s="17"/>
      <c r="E883" s="17"/>
      <c r="F883" s="17"/>
      <c r="G883" s="17"/>
      <c r="I883" s="17"/>
      <c r="M883" s="17"/>
      <c r="N883" s="17"/>
      <c r="O883" s="17"/>
      <c r="R883" s="17"/>
      <c r="S883" s="17"/>
      <c r="T883" s="17"/>
    </row>
    <row r="884" customFormat="false" ht="15" hidden="false" customHeight="true" outlineLevel="0" collapsed="false">
      <c r="B884" s="17"/>
      <c r="E884" s="17"/>
      <c r="F884" s="17"/>
      <c r="G884" s="17"/>
      <c r="I884" s="17"/>
      <c r="M884" s="17"/>
      <c r="N884" s="17"/>
      <c r="O884" s="17"/>
      <c r="R884" s="17"/>
      <c r="S884" s="17"/>
      <c r="T884" s="17"/>
    </row>
    <row r="885" customFormat="false" ht="15" hidden="false" customHeight="true" outlineLevel="0" collapsed="false">
      <c r="B885" s="17"/>
      <c r="E885" s="17"/>
      <c r="F885" s="17"/>
      <c r="G885" s="17"/>
      <c r="I885" s="17"/>
      <c r="M885" s="17"/>
      <c r="N885" s="17"/>
      <c r="O885" s="17"/>
      <c r="R885" s="17"/>
      <c r="S885" s="17"/>
      <c r="T885" s="17"/>
    </row>
    <row r="886" customFormat="false" ht="15" hidden="false" customHeight="true" outlineLevel="0" collapsed="false">
      <c r="B886" s="17"/>
      <c r="E886" s="17"/>
      <c r="F886" s="17"/>
      <c r="G886" s="17"/>
      <c r="I886" s="17"/>
      <c r="M886" s="17"/>
      <c r="N886" s="17"/>
      <c r="O886" s="17"/>
      <c r="R886" s="17"/>
      <c r="S886" s="17"/>
      <c r="T886" s="17"/>
    </row>
    <row r="887" customFormat="false" ht="15" hidden="false" customHeight="true" outlineLevel="0" collapsed="false">
      <c r="B887" s="17"/>
      <c r="E887" s="17"/>
      <c r="F887" s="17"/>
      <c r="G887" s="17"/>
      <c r="I887" s="17"/>
      <c r="M887" s="17"/>
      <c r="N887" s="17"/>
      <c r="O887" s="17"/>
      <c r="R887" s="17"/>
      <c r="S887" s="17"/>
      <c r="T887" s="17"/>
    </row>
    <row r="888" customFormat="false" ht="15" hidden="false" customHeight="true" outlineLevel="0" collapsed="false">
      <c r="B888" s="17"/>
      <c r="E888" s="17"/>
      <c r="F888" s="17"/>
      <c r="G888" s="17"/>
      <c r="I888" s="17"/>
      <c r="M888" s="17"/>
      <c r="N888" s="17"/>
      <c r="O888" s="17"/>
      <c r="R888" s="17"/>
      <c r="S888" s="17"/>
      <c r="T888" s="17"/>
    </row>
    <row r="889" customFormat="false" ht="15" hidden="false" customHeight="true" outlineLevel="0" collapsed="false">
      <c r="B889" s="17"/>
      <c r="E889" s="17"/>
      <c r="F889" s="17"/>
      <c r="G889" s="17"/>
      <c r="I889" s="17"/>
      <c r="M889" s="17"/>
      <c r="N889" s="17"/>
      <c r="O889" s="17"/>
      <c r="R889" s="17"/>
      <c r="S889" s="17"/>
      <c r="T889" s="17"/>
    </row>
    <row r="890" customFormat="false" ht="15" hidden="false" customHeight="true" outlineLevel="0" collapsed="false">
      <c r="B890" s="17"/>
      <c r="E890" s="17"/>
      <c r="F890" s="17"/>
      <c r="G890" s="17"/>
      <c r="I890" s="17"/>
      <c r="M890" s="17"/>
      <c r="N890" s="17"/>
      <c r="O890" s="17"/>
      <c r="R890" s="17"/>
      <c r="S890" s="17"/>
      <c r="T890" s="17"/>
    </row>
    <row r="891" customFormat="false" ht="15" hidden="false" customHeight="true" outlineLevel="0" collapsed="false">
      <c r="B891" s="17"/>
      <c r="E891" s="17"/>
      <c r="F891" s="17"/>
      <c r="G891" s="17"/>
      <c r="I891" s="17"/>
      <c r="M891" s="17"/>
      <c r="N891" s="17"/>
      <c r="O891" s="17"/>
      <c r="R891" s="17"/>
      <c r="S891" s="17"/>
      <c r="T891" s="17"/>
    </row>
    <row r="892" customFormat="false" ht="15" hidden="false" customHeight="true" outlineLevel="0" collapsed="false">
      <c r="B892" s="17"/>
      <c r="E892" s="17"/>
      <c r="F892" s="17"/>
      <c r="G892" s="17"/>
      <c r="I892" s="17"/>
      <c r="M892" s="17"/>
      <c r="N892" s="17"/>
      <c r="O892" s="17"/>
      <c r="R892" s="17"/>
      <c r="S892" s="17"/>
      <c r="T892" s="17"/>
    </row>
    <row r="893" customFormat="false" ht="15" hidden="false" customHeight="true" outlineLevel="0" collapsed="false">
      <c r="B893" s="17"/>
      <c r="E893" s="17"/>
      <c r="F893" s="17"/>
      <c r="G893" s="17"/>
      <c r="I893" s="17"/>
      <c r="M893" s="17"/>
      <c r="N893" s="17"/>
      <c r="O893" s="17"/>
      <c r="R893" s="17"/>
      <c r="S893" s="17"/>
      <c r="T893" s="17"/>
    </row>
    <row r="894" customFormat="false" ht="15" hidden="false" customHeight="true" outlineLevel="0" collapsed="false">
      <c r="B894" s="17"/>
      <c r="E894" s="17"/>
      <c r="F894" s="17"/>
      <c r="G894" s="17"/>
      <c r="I894" s="17"/>
      <c r="M894" s="17"/>
      <c r="N894" s="17"/>
      <c r="O894" s="17"/>
      <c r="R894" s="17"/>
      <c r="S894" s="17"/>
      <c r="T894" s="17"/>
    </row>
    <row r="895" customFormat="false" ht="15" hidden="false" customHeight="true" outlineLevel="0" collapsed="false">
      <c r="B895" s="17"/>
      <c r="E895" s="17"/>
      <c r="F895" s="17"/>
      <c r="G895" s="17"/>
      <c r="I895" s="17"/>
      <c r="M895" s="17"/>
      <c r="N895" s="17"/>
      <c r="O895" s="17"/>
      <c r="R895" s="17"/>
      <c r="S895" s="17"/>
      <c r="T895" s="17"/>
    </row>
    <row r="896" customFormat="false" ht="15" hidden="false" customHeight="true" outlineLevel="0" collapsed="false">
      <c r="B896" s="17"/>
      <c r="E896" s="17"/>
      <c r="F896" s="17"/>
      <c r="G896" s="17"/>
      <c r="I896" s="17"/>
      <c r="M896" s="17"/>
      <c r="N896" s="17"/>
      <c r="O896" s="17"/>
      <c r="R896" s="17"/>
      <c r="S896" s="17"/>
      <c r="T896" s="17"/>
    </row>
    <row r="897" customFormat="false" ht="15" hidden="false" customHeight="true" outlineLevel="0" collapsed="false">
      <c r="B897" s="17"/>
      <c r="E897" s="17"/>
      <c r="F897" s="17"/>
      <c r="G897" s="17"/>
      <c r="I897" s="17"/>
      <c r="M897" s="17"/>
      <c r="N897" s="17"/>
      <c r="O897" s="17"/>
      <c r="R897" s="17"/>
      <c r="S897" s="17"/>
      <c r="T897" s="17"/>
    </row>
    <row r="898" customFormat="false" ht="15" hidden="false" customHeight="true" outlineLevel="0" collapsed="false">
      <c r="B898" s="17"/>
      <c r="E898" s="17"/>
      <c r="F898" s="17"/>
      <c r="G898" s="17"/>
      <c r="I898" s="17"/>
      <c r="M898" s="17"/>
      <c r="N898" s="17"/>
      <c r="O898" s="17"/>
      <c r="R898" s="17"/>
      <c r="S898" s="17"/>
      <c r="T898" s="17"/>
    </row>
    <row r="899" customFormat="false" ht="15" hidden="false" customHeight="true" outlineLevel="0" collapsed="false">
      <c r="B899" s="17"/>
      <c r="E899" s="17"/>
      <c r="F899" s="17"/>
      <c r="G899" s="17"/>
      <c r="I899" s="17"/>
      <c r="M899" s="17"/>
      <c r="N899" s="17"/>
      <c r="O899" s="17"/>
      <c r="R899" s="17"/>
      <c r="S899" s="17"/>
      <c r="T899" s="17"/>
    </row>
    <row r="900" customFormat="false" ht="15" hidden="false" customHeight="true" outlineLevel="0" collapsed="false">
      <c r="B900" s="17"/>
      <c r="E900" s="17"/>
      <c r="F900" s="17"/>
      <c r="G900" s="17"/>
      <c r="I900" s="17"/>
      <c r="M900" s="17"/>
      <c r="N900" s="17"/>
      <c r="O900" s="17"/>
      <c r="R900" s="17"/>
      <c r="S900" s="17"/>
      <c r="T900" s="17"/>
    </row>
    <row r="901" customFormat="false" ht="15" hidden="false" customHeight="true" outlineLevel="0" collapsed="false">
      <c r="B901" s="17"/>
      <c r="E901" s="17"/>
      <c r="F901" s="17"/>
      <c r="G901" s="17"/>
      <c r="I901" s="17"/>
      <c r="M901" s="17"/>
      <c r="N901" s="17"/>
      <c r="O901" s="17"/>
      <c r="R901" s="17"/>
      <c r="S901" s="17"/>
      <c r="T901" s="17"/>
    </row>
    <row r="902" customFormat="false" ht="15" hidden="false" customHeight="true" outlineLevel="0" collapsed="false">
      <c r="B902" s="17"/>
      <c r="E902" s="17"/>
      <c r="F902" s="17"/>
      <c r="G902" s="17"/>
      <c r="I902" s="17"/>
      <c r="M902" s="17"/>
      <c r="N902" s="17"/>
      <c r="O902" s="17"/>
      <c r="R902" s="17"/>
      <c r="S902" s="17"/>
      <c r="T902" s="17"/>
    </row>
    <row r="903" customFormat="false" ht="15" hidden="false" customHeight="true" outlineLevel="0" collapsed="false">
      <c r="B903" s="17"/>
      <c r="E903" s="17"/>
      <c r="F903" s="17"/>
      <c r="G903" s="17"/>
      <c r="I903" s="17"/>
      <c r="M903" s="17"/>
      <c r="N903" s="17"/>
      <c r="O903" s="17"/>
      <c r="R903" s="17"/>
      <c r="S903" s="17"/>
      <c r="T903" s="17"/>
    </row>
    <row r="904" customFormat="false" ht="15" hidden="false" customHeight="true" outlineLevel="0" collapsed="false">
      <c r="B904" s="17"/>
      <c r="E904" s="17"/>
      <c r="F904" s="17"/>
      <c r="G904" s="17"/>
      <c r="I904" s="17"/>
      <c r="M904" s="17"/>
      <c r="N904" s="17"/>
      <c r="O904" s="17"/>
      <c r="R904" s="17"/>
      <c r="S904" s="17"/>
      <c r="T904" s="17"/>
    </row>
    <row r="905" customFormat="false" ht="15" hidden="false" customHeight="true" outlineLevel="0" collapsed="false">
      <c r="B905" s="17"/>
      <c r="E905" s="17"/>
      <c r="F905" s="17"/>
      <c r="G905" s="17"/>
      <c r="I905" s="17"/>
      <c r="M905" s="17"/>
      <c r="N905" s="17"/>
      <c r="O905" s="17"/>
      <c r="R905" s="17"/>
      <c r="S905" s="17"/>
      <c r="T905" s="17"/>
    </row>
    <row r="906" customFormat="false" ht="15" hidden="false" customHeight="true" outlineLevel="0" collapsed="false">
      <c r="B906" s="17"/>
      <c r="E906" s="17"/>
      <c r="F906" s="17"/>
      <c r="G906" s="17"/>
      <c r="I906" s="17"/>
      <c r="M906" s="17"/>
      <c r="N906" s="17"/>
      <c r="O906" s="17"/>
      <c r="R906" s="17"/>
      <c r="S906" s="17"/>
      <c r="T906" s="17"/>
    </row>
    <row r="907" customFormat="false" ht="15" hidden="false" customHeight="true" outlineLevel="0" collapsed="false">
      <c r="B907" s="17"/>
      <c r="E907" s="17"/>
      <c r="F907" s="17"/>
      <c r="G907" s="17"/>
      <c r="I907" s="17"/>
      <c r="M907" s="17"/>
      <c r="N907" s="17"/>
      <c r="O907" s="17"/>
      <c r="R907" s="17"/>
      <c r="S907" s="17"/>
      <c r="T907" s="17"/>
    </row>
    <row r="908" customFormat="false" ht="15" hidden="false" customHeight="true" outlineLevel="0" collapsed="false">
      <c r="B908" s="17"/>
      <c r="E908" s="17"/>
      <c r="F908" s="17"/>
      <c r="G908" s="17"/>
      <c r="I908" s="17"/>
      <c r="M908" s="17"/>
      <c r="N908" s="17"/>
      <c r="O908" s="17"/>
      <c r="R908" s="17"/>
      <c r="S908" s="17"/>
      <c r="T908" s="17"/>
    </row>
    <row r="909" customFormat="false" ht="15" hidden="false" customHeight="true" outlineLevel="0" collapsed="false">
      <c r="B909" s="17"/>
      <c r="E909" s="17"/>
      <c r="F909" s="17"/>
      <c r="G909" s="17"/>
      <c r="I909" s="17"/>
      <c r="M909" s="17"/>
      <c r="N909" s="17"/>
      <c r="O909" s="17"/>
      <c r="R909" s="17"/>
      <c r="S909" s="17"/>
      <c r="T909" s="17"/>
    </row>
    <row r="910" customFormat="false" ht="15" hidden="false" customHeight="true" outlineLevel="0" collapsed="false">
      <c r="B910" s="17"/>
      <c r="E910" s="17"/>
      <c r="F910" s="17"/>
      <c r="G910" s="17"/>
      <c r="I910" s="17"/>
      <c r="M910" s="17"/>
      <c r="N910" s="17"/>
      <c r="O910" s="17"/>
      <c r="R910" s="17"/>
      <c r="S910" s="17"/>
      <c r="T910" s="17"/>
    </row>
    <row r="911" customFormat="false" ht="15" hidden="false" customHeight="true" outlineLevel="0" collapsed="false">
      <c r="B911" s="17"/>
      <c r="E911" s="17"/>
      <c r="F911" s="17"/>
      <c r="G911" s="17"/>
      <c r="I911" s="17"/>
      <c r="M911" s="17"/>
      <c r="N911" s="17"/>
      <c r="O911" s="17"/>
      <c r="R911" s="17"/>
      <c r="S911" s="17"/>
      <c r="T911" s="17"/>
    </row>
    <row r="912" customFormat="false" ht="15" hidden="false" customHeight="true" outlineLevel="0" collapsed="false">
      <c r="B912" s="17"/>
      <c r="E912" s="17"/>
      <c r="F912" s="17"/>
      <c r="G912" s="17"/>
      <c r="I912" s="17"/>
      <c r="M912" s="17"/>
      <c r="N912" s="17"/>
      <c r="O912" s="17"/>
      <c r="R912" s="17"/>
      <c r="S912" s="17"/>
      <c r="T912" s="17"/>
    </row>
    <row r="913" customFormat="false" ht="15" hidden="false" customHeight="true" outlineLevel="0" collapsed="false">
      <c r="B913" s="17"/>
      <c r="E913" s="17"/>
      <c r="F913" s="17"/>
      <c r="G913" s="17"/>
      <c r="I913" s="17"/>
      <c r="M913" s="17"/>
      <c r="N913" s="17"/>
      <c r="O913" s="17"/>
      <c r="R913" s="17"/>
      <c r="S913" s="17"/>
      <c r="T913" s="17"/>
    </row>
    <row r="914" customFormat="false" ht="15" hidden="false" customHeight="true" outlineLevel="0" collapsed="false">
      <c r="B914" s="17"/>
      <c r="E914" s="17"/>
      <c r="F914" s="17"/>
      <c r="G914" s="17"/>
      <c r="I914" s="17"/>
      <c r="M914" s="17"/>
      <c r="N914" s="17"/>
      <c r="O914" s="17"/>
      <c r="R914" s="17"/>
      <c r="S914" s="17"/>
      <c r="T914" s="17"/>
    </row>
    <row r="915" customFormat="false" ht="15" hidden="false" customHeight="true" outlineLevel="0" collapsed="false">
      <c r="B915" s="17"/>
      <c r="E915" s="17"/>
      <c r="F915" s="17"/>
      <c r="G915" s="17"/>
      <c r="I915" s="17"/>
      <c r="M915" s="17"/>
      <c r="N915" s="17"/>
      <c r="O915" s="17"/>
      <c r="R915" s="17"/>
      <c r="S915" s="17"/>
      <c r="T915" s="17"/>
    </row>
    <row r="916" customFormat="false" ht="15" hidden="false" customHeight="true" outlineLevel="0" collapsed="false">
      <c r="B916" s="17"/>
      <c r="E916" s="17"/>
      <c r="F916" s="17"/>
      <c r="G916" s="17"/>
      <c r="I916" s="17"/>
      <c r="M916" s="17"/>
      <c r="N916" s="17"/>
      <c r="O916" s="17"/>
      <c r="R916" s="17"/>
      <c r="S916" s="17"/>
      <c r="T916" s="17"/>
    </row>
    <row r="917" customFormat="false" ht="15" hidden="false" customHeight="true" outlineLevel="0" collapsed="false">
      <c r="B917" s="17"/>
      <c r="E917" s="17"/>
      <c r="F917" s="17"/>
      <c r="G917" s="17"/>
      <c r="I917" s="17"/>
      <c r="M917" s="17"/>
      <c r="N917" s="17"/>
      <c r="O917" s="17"/>
      <c r="R917" s="17"/>
      <c r="S917" s="17"/>
      <c r="T917" s="17"/>
    </row>
    <row r="918" customFormat="false" ht="15" hidden="false" customHeight="true" outlineLevel="0" collapsed="false">
      <c r="B918" s="17"/>
      <c r="E918" s="17"/>
      <c r="F918" s="17"/>
      <c r="G918" s="17"/>
      <c r="I918" s="17"/>
      <c r="M918" s="17"/>
      <c r="N918" s="17"/>
      <c r="O918" s="17"/>
      <c r="R918" s="17"/>
      <c r="S918" s="17"/>
      <c r="T918" s="17"/>
    </row>
    <row r="919" customFormat="false" ht="15" hidden="false" customHeight="true" outlineLevel="0" collapsed="false">
      <c r="B919" s="17"/>
      <c r="E919" s="17"/>
      <c r="F919" s="17"/>
      <c r="G919" s="17"/>
      <c r="I919" s="17"/>
      <c r="M919" s="17"/>
      <c r="N919" s="17"/>
      <c r="O919" s="17"/>
      <c r="R919" s="17"/>
      <c r="S919" s="17"/>
      <c r="T919" s="17"/>
    </row>
    <row r="920" customFormat="false" ht="15" hidden="false" customHeight="true" outlineLevel="0" collapsed="false">
      <c r="B920" s="17"/>
      <c r="E920" s="17"/>
      <c r="F920" s="17"/>
      <c r="G920" s="17"/>
      <c r="I920" s="17"/>
      <c r="M920" s="17"/>
      <c r="N920" s="17"/>
      <c r="O920" s="17"/>
      <c r="R920" s="17"/>
      <c r="S920" s="17"/>
      <c r="T920" s="17"/>
    </row>
    <row r="921" customFormat="false" ht="15" hidden="false" customHeight="true" outlineLevel="0" collapsed="false">
      <c r="B921" s="17"/>
      <c r="E921" s="17"/>
      <c r="F921" s="17"/>
      <c r="G921" s="17"/>
      <c r="I921" s="17"/>
      <c r="M921" s="17"/>
      <c r="N921" s="17"/>
      <c r="O921" s="17"/>
      <c r="R921" s="17"/>
      <c r="S921" s="17"/>
      <c r="T921" s="17"/>
    </row>
    <row r="922" customFormat="false" ht="15" hidden="false" customHeight="true" outlineLevel="0" collapsed="false">
      <c r="B922" s="17"/>
      <c r="E922" s="17"/>
      <c r="F922" s="17"/>
      <c r="G922" s="17"/>
      <c r="I922" s="17"/>
      <c r="M922" s="17"/>
      <c r="N922" s="17"/>
      <c r="O922" s="17"/>
      <c r="R922" s="17"/>
      <c r="S922" s="17"/>
      <c r="T922" s="17"/>
    </row>
    <row r="923" customFormat="false" ht="15" hidden="false" customHeight="true" outlineLevel="0" collapsed="false">
      <c r="B923" s="17"/>
      <c r="E923" s="17"/>
      <c r="F923" s="17"/>
      <c r="G923" s="17"/>
      <c r="I923" s="17"/>
      <c r="M923" s="17"/>
      <c r="N923" s="17"/>
      <c r="O923" s="17"/>
      <c r="R923" s="17"/>
      <c r="S923" s="17"/>
      <c r="T923" s="17"/>
    </row>
    <row r="924" customFormat="false" ht="15" hidden="false" customHeight="true" outlineLevel="0" collapsed="false">
      <c r="B924" s="17"/>
      <c r="E924" s="17"/>
      <c r="F924" s="17"/>
      <c r="G924" s="17"/>
      <c r="I924" s="17"/>
      <c r="M924" s="17"/>
      <c r="N924" s="17"/>
      <c r="O924" s="17"/>
      <c r="R924" s="17"/>
      <c r="S924" s="17"/>
      <c r="T924" s="17"/>
    </row>
    <row r="925" customFormat="false" ht="15" hidden="false" customHeight="true" outlineLevel="0" collapsed="false">
      <c r="B925" s="17"/>
      <c r="E925" s="17"/>
      <c r="F925" s="17"/>
      <c r="G925" s="17"/>
      <c r="I925" s="17"/>
      <c r="M925" s="17"/>
      <c r="N925" s="17"/>
      <c r="O925" s="17"/>
      <c r="R925" s="17"/>
      <c r="S925" s="17"/>
      <c r="T925" s="17"/>
    </row>
    <row r="926" customFormat="false" ht="15" hidden="false" customHeight="true" outlineLevel="0" collapsed="false">
      <c r="B926" s="17"/>
      <c r="E926" s="17"/>
      <c r="F926" s="17"/>
      <c r="G926" s="17"/>
      <c r="I926" s="17"/>
      <c r="M926" s="17"/>
      <c r="N926" s="17"/>
      <c r="O926" s="17"/>
      <c r="R926" s="17"/>
      <c r="S926" s="17"/>
      <c r="T926" s="17"/>
    </row>
    <row r="927" customFormat="false" ht="15" hidden="false" customHeight="true" outlineLevel="0" collapsed="false">
      <c r="B927" s="17"/>
      <c r="E927" s="17"/>
      <c r="F927" s="17"/>
      <c r="G927" s="17"/>
      <c r="I927" s="17"/>
      <c r="M927" s="17"/>
      <c r="N927" s="17"/>
      <c r="O927" s="17"/>
      <c r="R927" s="17"/>
      <c r="S927" s="17"/>
      <c r="T927" s="17"/>
    </row>
    <row r="928" customFormat="false" ht="15" hidden="false" customHeight="true" outlineLevel="0" collapsed="false">
      <c r="B928" s="17"/>
      <c r="E928" s="17"/>
      <c r="F928" s="17"/>
      <c r="G928" s="17"/>
      <c r="I928" s="17"/>
      <c r="M928" s="17"/>
      <c r="N928" s="17"/>
      <c r="O928" s="17"/>
      <c r="R928" s="17"/>
      <c r="S928" s="17"/>
      <c r="T928" s="17"/>
    </row>
    <row r="929" customFormat="false" ht="15" hidden="false" customHeight="true" outlineLevel="0" collapsed="false">
      <c r="B929" s="17"/>
      <c r="E929" s="17"/>
      <c r="F929" s="17"/>
      <c r="G929" s="17"/>
      <c r="I929" s="17"/>
      <c r="M929" s="17"/>
      <c r="N929" s="17"/>
      <c r="O929" s="17"/>
      <c r="R929" s="17"/>
      <c r="S929" s="17"/>
      <c r="T929" s="17"/>
    </row>
    <row r="930" customFormat="false" ht="15" hidden="false" customHeight="true" outlineLevel="0" collapsed="false">
      <c r="B930" s="17"/>
      <c r="E930" s="17"/>
      <c r="F930" s="17"/>
      <c r="G930" s="17"/>
      <c r="I930" s="17"/>
      <c r="M930" s="17"/>
      <c r="N930" s="17"/>
      <c r="O930" s="17"/>
      <c r="R930" s="17"/>
      <c r="S930" s="17"/>
      <c r="T930" s="17"/>
    </row>
    <row r="931" customFormat="false" ht="15" hidden="false" customHeight="true" outlineLevel="0" collapsed="false">
      <c r="B931" s="17"/>
      <c r="E931" s="17"/>
      <c r="F931" s="17"/>
      <c r="G931" s="17"/>
      <c r="I931" s="17"/>
      <c r="M931" s="17"/>
      <c r="N931" s="17"/>
      <c r="O931" s="17"/>
      <c r="R931" s="17"/>
      <c r="S931" s="17"/>
      <c r="T931" s="17"/>
    </row>
    <row r="932" customFormat="false" ht="15" hidden="false" customHeight="true" outlineLevel="0" collapsed="false">
      <c r="B932" s="17"/>
      <c r="E932" s="17"/>
      <c r="F932" s="17"/>
      <c r="G932" s="17"/>
      <c r="I932" s="17"/>
      <c r="M932" s="17"/>
      <c r="N932" s="17"/>
      <c r="O932" s="17"/>
      <c r="R932" s="17"/>
      <c r="S932" s="17"/>
      <c r="T932" s="17"/>
    </row>
    <row r="933" customFormat="false" ht="15" hidden="false" customHeight="true" outlineLevel="0" collapsed="false">
      <c r="B933" s="17"/>
      <c r="E933" s="17"/>
      <c r="F933" s="17"/>
      <c r="G933" s="17"/>
      <c r="I933" s="17"/>
      <c r="M933" s="17"/>
      <c r="N933" s="17"/>
      <c r="O933" s="17"/>
      <c r="R933" s="17"/>
      <c r="S933" s="17"/>
      <c r="T933" s="17"/>
    </row>
    <row r="934" customFormat="false" ht="15" hidden="false" customHeight="true" outlineLevel="0" collapsed="false">
      <c r="B934" s="17"/>
      <c r="E934" s="17"/>
      <c r="F934" s="17"/>
      <c r="G934" s="17"/>
      <c r="I934" s="17"/>
      <c r="M934" s="17"/>
      <c r="N934" s="17"/>
      <c r="O934" s="17"/>
      <c r="R934" s="17"/>
      <c r="S934" s="17"/>
      <c r="T934" s="17"/>
    </row>
    <row r="935" customFormat="false" ht="15" hidden="false" customHeight="true" outlineLevel="0" collapsed="false">
      <c r="B935" s="17"/>
      <c r="E935" s="17"/>
      <c r="F935" s="17"/>
      <c r="G935" s="17"/>
      <c r="I935" s="17"/>
      <c r="M935" s="17"/>
      <c r="N935" s="17"/>
      <c r="O935" s="17"/>
      <c r="R935" s="17"/>
      <c r="S935" s="17"/>
      <c r="T935" s="17"/>
    </row>
    <row r="936" customFormat="false" ht="15" hidden="false" customHeight="true" outlineLevel="0" collapsed="false">
      <c r="B936" s="17"/>
      <c r="E936" s="17"/>
      <c r="F936" s="17"/>
      <c r="G936" s="17"/>
      <c r="I936" s="17"/>
      <c r="M936" s="17"/>
      <c r="N936" s="17"/>
      <c r="O936" s="17"/>
      <c r="R936" s="17"/>
      <c r="S936" s="17"/>
      <c r="T936" s="17"/>
    </row>
    <row r="937" customFormat="false" ht="15" hidden="false" customHeight="true" outlineLevel="0" collapsed="false">
      <c r="B937" s="17"/>
      <c r="E937" s="17"/>
      <c r="F937" s="17"/>
      <c r="G937" s="17"/>
      <c r="I937" s="17"/>
      <c r="M937" s="17"/>
      <c r="N937" s="17"/>
      <c r="O937" s="17"/>
      <c r="R937" s="17"/>
      <c r="S937" s="17"/>
      <c r="T937" s="17"/>
    </row>
    <row r="938" customFormat="false" ht="15" hidden="false" customHeight="true" outlineLevel="0" collapsed="false">
      <c r="B938" s="17"/>
      <c r="E938" s="17"/>
      <c r="F938" s="17"/>
      <c r="G938" s="17"/>
      <c r="I938" s="17"/>
      <c r="M938" s="17"/>
      <c r="N938" s="17"/>
      <c r="O938" s="17"/>
      <c r="R938" s="17"/>
      <c r="S938" s="17"/>
      <c r="T938" s="17"/>
    </row>
    <row r="939" customFormat="false" ht="15" hidden="false" customHeight="true" outlineLevel="0" collapsed="false">
      <c r="B939" s="17"/>
      <c r="E939" s="17"/>
      <c r="F939" s="17"/>
      <c r="G939" s="17"/>
      <c r="I939" s="17"/>
      <c r="M939" s="17"/>
      <c r="N939" s="17"/>
      <c r="O939" s="17"/>
      <c r="R939" s="17"/>
      <c r="S939" s="17"/>
      <c r="T939" s="17"/>
    </row>
    <row r="940" customFormat="false" ht="15" hidden="false" customHeight="true" outlineLevel="0" collapsed="false">
      <c r="B940" s="17"/>
      <c r="E940" s="17"/>
      <c r="F940" s="17"/>
      <c r="G940" s="17"/>
      <c r="I940" s="17"/>
      <c r="M940" s="17"/>
      <c r="N940" s="17"/>
      <c r="O940" s="17"/>
      <c r="R940" s="17"/>
      <c r="S940" s="17"/>
      <c r="T940" s="17"/>
    </row>
    <row r="941" customFormat="false" ht="15" hidden="false" customHeight="true" outlineLevel="0" collapsed="false">
      <c r="B941" s="17"/>
      <c r="E941" s="17"/>
      <c r="F941" s="17"/>
      <c r="G941" s="17"/>
      <c r="I941" s="17"/>
      <c r="M941" s="17"/>
      <c r="N941" s="17"/>
      <c r="O941" s="17"/>
      <c r="R941" s="17"/>
      <c r="S941" s="17"/>
      <c r="T941" s="17"/>
    </row>
    <row r="942" customFormat="false" ht="15" hidden="false" customHeight="true" outlineLevel="0" collapsed="false">
      <c r="B942" s="17"/>
      <c r="E942" s="17"/>
      <c r="F942" s="17"/>
      <c r="G942" s="17"/>
      <c r="I942" s="17"/>
      <c r="M942" s="17"/>
      <c r="N942" s="17"/>
      <c r="O942" s="17"/>
      <c r="R942" s="17"/>
      <c r="S942" s="17"/>
      <c r="T942" s="17"/>
    </row>
    <row r="943" customFormat="false" ht="15" hidden="false" customHeight="true" outlineLevel="0" collapsed="false">
      <c r="B943" s="17"/>
      <c r="E943" s="17"/>
      <c r="F943" s="17"/>
      <c r="G943" s="17"/>
      <c r="I943" s="17"/>
      <c r="M943" s="17"/>
      <c r="N943" s="17"/>
      <c r="O943" s="17"/>
      <c r="R943" s="17"/>
      <c r="S943" s="17"/>
      <c r="T943" s="17"/>
    </row>
    <row r="944" customFormat="false" ht="15" hidden="false" customHeight="true" outlineLevel="0" collapsed="false">
      <c r="B944" s="17"/>
      <c r="E944" s="17"/>
      <c r="F944" s="17"/>
      <c r="G944" s="17"/>
      <c r="I944" s="17"/>
      <c r="M944" s="17"/>
      <c r="N944" s="17"/>
      <c r="O944" s="17"/>
      <c r="R944" s="17"/>
      <c r="S944" s="17"/>
      <c r="T944" s="17"/>
    </row>
    <row r="945" customFormat="false" ht="15" hidden="false" customHeight="true" outlineLevel="0" collapsed="false">
      <c r="B945" s="17"/>
      <c r="E945" s="17"/>
      <c r="F945" s="17"/>
      <c r="G945" s="17"/>
      <c r="I945" s="17"/>
      <c r="M945" s="17"/>
      <c r="N945" s="17"/>
      <c r="O945" s="17"/>
      <c r="R945" s="17"/>
      <c r="S945" s="17"/>
      <c r="T945" s="17"/>
    </row>
    <row r="946" customFormat="false" ht="15" hidden="false" customHeight="true" outlineLevel="0" collapsed="false">
      <c r="B946" s="17"/>
      <c r="E946" s="17"/>
      <c r="F946" s="17"/>
      <c r="G946" s="17"/>
      <c r="I946" s="17"/>
      <c r="M946" s="17"/>
      <c r="N946" s="17"/>
      <c r="O946" s="17"/>
      <c r="R946" s="17"/>
      <c r="S946" s="17"/>
      <c r="T946" s="17"/>
    </row>
    <row r="947" customFormat="false" ht="15" hidden="false" customHeight="true" outlineLevel="0" collapsed="false">
      <c r="B947" s="17"/>
      <c r="E947" s="17"/>
      <c r="F947" s="17"/>
      <c r="G947" s="17"/>
      <c r="I947" s="17"/>
      <c r="M947" s="17"/>
      <c r="N947" s="17"/>
      <c r="O947" s="17"/>
      <c r="R947" s="17"/>
      <c r="S947" s="17"/>
      <c r="T947" s="17"/>
    </row>
    <row r="948" customFormat="false" ht="15" hidden="false" customHeight="true" outlineLevel="0" collapsed="false">
      <c r="B948" s="17"/>
      <c r="E948" s="17"/>
      <c r="F948" s="17"/>
      <c r="G948" s="17"/>
      <c r="I948" s="17"/>
      <c r="M948" s="17"/>
      <c r="N948" s="17"/>
      <c r="O948" s="17"/>
      <c r="R948" s="17"/>
      <c r="S948" s="17"/>
      <c r="T948" s="17"/>
    </row>
    <row r="949" customFormat="false" ht="15" hidden="false" customHeight="true" outlineLevel="0" collapsed="false">
      <c r="B949" s="17"/>
      <c r="E949" s="17"/>
      <c r="F949" s="17"/>
      <c r="G949" s="17"/>
      <c r="I949" s="17"/>
      <c r="M949" s="17"/>
      <c r="N949" s="17"/>
      <c r="O949" s="17"/>
      <c r="R949" s="17"/>
      <c r="S949" s="17"/>
      <c r="T949" s="17"/>
    </row>
    <row r="950" customFormat="false" ht="15" hidden="false" customHeight="true" outlineLevel="0" collapsed="false">
      <c r="B950" s="17"/>
      <c r="E950" s="17"/>
      <c r="F950" s="17"/>
      <c r="G950" s="17"/>
      <c r="I950" s="17"/>
      <c r="M950" s="17"/>
      <c r="N950" s="17"/>
      <c r="O950" s="17"/>
      <c r="R950" s="17"/>
      <c r="S950" s="17"/>
      <c r="T950" s="17"/>
    </row>
    <row r="951" customFormat="false" ht="15" hidden="false" customHeight="true" outlineLevel="0" collapsed="false">
      <c r="B951" s="17"/>
      <c r="E951" s="17"/>
      <c r="F951" s="17"/>
      <c r="G951" s="17"/>
      <c r="I951" s="17"/>
      <c r="M951" s="17"/>
      <c r="N951" s="17"/>
      <c r="O951" s="17"/>
      <c r="R951" s="17"/>
      <c r="S951" s="17"/>
      <c r="T951" s="17"/>
    </row>
    <row r="952" customFormat="false" ht="15" hidden="false" customHeight="true" outlineLevel="0" collapsed="false">
      <c r="B952" s="17"/>
      <c r="E952" s="17"/>
      <c r="F952" s="17"/>
      <c r="G952" s="17"/>
      <c r="I952" s="17"/>
      <c r="M952" s="17"/>
      <c r="N952" s="17"/>
      <c r="O952" s="17"/>
      <c r="R952" s="17"/>
      <c r="S952" s="17"/>
      <c r="T952" s="17"/>
    </row>
    <row r="953" customFormat="false" ht="15" hidden="false" customHeight="true" outlineLevel="0" collapsed="false">
      <c r="B953" s="17"/>
      <c r="E953" s="17"/>
      <c r="F953" s="17"/>
      <c r="G953" s="17"/>
      <c r="I953" s="17"/>
      <c r="M953" s="17"/>
      <c r="N953" s="17"/>
      <c r="O953" s="17"/>
      <c r="R953" s="17"/>
      <c r="S953" s="17"/>
      <c r="T953" s="17"/>
    </row>
    <row r="954" customFormat="false" ht="15" hidden="false" customHeight="true" outlineLevel="0" collapsed="false">
      <c r="B954" s="17"/>
      <c r="E954" s="17"/>
      <c r="F954" s="17"/>
      <c r="G954" s="17"/>
      <c r="I954" s="17"/>
      <c r="M954" s="17"/>
      <c r="N954" s="17"/>
      <c r="O954" s="17"/>
      <c r="R954" s="17"/>
      <c r="S954" s="17"/>
      <c r="T954" s="17"/>
    </row>
    <row r="955" customFormat="false" ht="15" hidden="false" customHeight="true" outlineLevel="0" collapsed="false">
      <c r="B955" s="17"/>
      <c r="E955" s="17"/>
      <c r="F955" s="17"/>
      <c r="G955" s="17"/>
      <c r="I955" s="17"/>
      <c r="M955" s="17"/>
      <c r="N955" s="17"/>
      <c r="O955" s="17"/>
      <c r="R955" s="17"/>
      <c r="S955" s="17"/>
      <c r="T955" s="17"/>
    </row>
    <row r="956" customFormat="false" ht="15" hidden="false" customHeight="true" outlineLevel="0" collapsed="false">
      <c r="B956" s="17"/>
      <c r="E956" s="17"/>
      <c r="F956" s="17"/>
      <c r="G956" s="17"/>
      <c r="I956" s="17"/>
      <c r="M956" s="17"/>
      <c r="N956" s="17"/>
      <c r="O956" s="17"/>
      <c r="R956" s="17"/>
      <c r="S956" s="17"/>
      <c r="T956" s="17"/>
    </row>
    <row r="957" customFormat="false" ht="15" hidden="false" customHeight="true" outlineLevel="0" collapsed="false">
      <c r="B957" s="17"/>
      <c r="E957" s="17"/>
      <c r="F957" s="17"/>
      <c r="G957" s="17"/>
      <c r="I957" s="17"/>
      <c r="M957" s="17"/>
      <c r="N957" s="17"/>
      <c r="O957" s="17"/>
      <c r="R957" s="17"/>
      <c r="S957" s="17"/>
      <c r="T957" s="17"/>
    </row>
    <row r="958" customFormat="false" ht="15" hidden="false" customHeight="true" outlineLevel="0" collapsed="false">
      <c r="B958" s="17"/>
      <c r="E958" s="17"/>
      <c r="F958" s="17"/>
      <c r="G958" s="17"/>
      <c r="I958" s="17"/>
      <c r="M958" s="17"/>
      <c r="N958" s="17"/>
      <c r="O958" s="17"/>
      <c r="R958" s="17"/>
      <c r="S958" s="17"/>
      <c r="T958" s="17"/>
    </row>
    <row r="959" customFormat="false" ht="15" hidden="false" customHeight="true" outlineLevel="0" collapsed="false">
      <c r="B959" s="17"/>
      <c r="E959" s="17"/>
      <c r="F959" s="17"/>
      <c r="G959" s="17"/>
      <c r="I959" s="17"/>
      <c r="M959" s="17"/>
      <c r="N959" s="17"/>
      <c r="O959" s="17"/>
      <c r="R959" s="17"/>
      <c r="S959" s="17"/>
      <c r="T959" s="17"/>
    </row>
    <row r="960" customFormat="false" ht="15" hidden="false" customHeight="true" outlineLevel="0" collapsed="false">
      <c r="B960" s="17"/>
      <c r="E960" s="17"/>
      <c r="F960" s="17"/>
      <c r="G960" s="17"/>
      <c r="I960" s="17"/>
      <c r="M960" s="17"/>
      <c r="N960" s="17"/>
      <c r="O960" s="17"/>
      <c r="R960" s="17"/>
      <c r="S960" s="17"/>
      <c r="T960" s="17"/>
    </row>
    <row r="961" customFormat="false" ht="15" hidden="false" customHeight="true" outlineLevel="0" collapsed="false">
      <c r="B961" s="17"/>
      <c r="E961" s="17"/>
      <c r="F961" s="17"/>
      <c r="G961" s="17"/>
      <c r="I961" s="17"/>
      <c r="M961" s="17"/>
      <c r="N961" s="17"/>
      <c r="O961" s="17"/>
      <c r="R961" s="17"/>
      <c r="S961" s="17"/>
      <c r="T961" s="17"/>
    </row>
    <row r="962" customFormat="false" ht="15" hidden="false" customHeight="true" outlineLevel="0" collapsed="false">
      <c r="B962" s="17"/>
      <c r="E962" s="17"/>
      <c r="F962" s="17"/>
      <c r="G962" s="17"/>
      <c r="I962" s="17"/>
      <c r="M962" s="17"/>
      <c r="N962" s="17"/>
      <c r="O962" s="17"/>
      <c r="R962" s="17"/>
      <c r="S962" s="17"/>
      <c r="T962" s="17"/>
    </row>
    <row r="963" customFormat="false" ht="15" hidden="false" customHeight="true" outlineLevel="0" collapsed="false">
      <c r="B963" s="17"/>
      <c r="E963" s="17"/>
      <c r="F963" s="17"/>
      <c r="G963" s="17"/>
      <c r="I963" s="17"/>
      <c r="M963" s="17"/>
      <c r="N963" s="17"/>
      <c r="O963" s="17"/>
      <c r="R963" s="17"/>
      <c r="S963" s="17"/>
      <c r="T963" s="17"/>
    </row>
    <row r="964" customFormat="false" ht="15" hidden="false" customHeight="true" outlineLevel="0" collapsed="false">
      <c r="B964" s="17"/>
      <c r="E964" s="17"/>
      <c r="F964" s="17"/>
      <c r="G964" s="17"/>
      <c r="I964" s="17"/>
      <c r="M964" s="17"/>
      <c r="N964" s="17"/>
      <c r="O964" s="17"/>
      <c r="R964" s="17"/>
      <c r="S964" s="17"/>
      <c r="T964" s="17"/>
    </row>
    <row r="965" customFormat="false" ht="15" hidden="false" customHeight="true" outlineLevel="0" collapsed="false">
      <c r="B965" s="17"/>
      <c r="E965" s="17"/>
      <c r="F965" s="17"/>
      <c r="G965" s="17"/>
      <c r="I965" s="17"/>
      <c r="M965" s="17"/>
      <c r="N965" s="17"/>
      <c r="O965" s="17"/>
      <c r="R965" s="17"/>
      <c r="S965" s="17"/>
      <c r="T965" s="17"/>
    </row>
    <row r="966" customFormat="false" ht="15" hidden="false" customHeight="true" outlineLevel="0" collapsed="false">
      <c r="B966" s="17"/>
      <c r="E966" s="17"/>
      <c r="F966" s="17"/>
      <c r="G966" s="17"/>
      <c r="I966" s="17"/>
      <c r="M966" s="17"/>
      <c r="N966" s="17"/>
      <c r="O966" s="17"/>
      <c r="R966" s="17"/>
      <c r="S966" s="17"/>
      <c r="T966" s="17"/>
    </row>
    <row r="967" customFormat="false" ht="15" hidden="false" customHeight="true" outlineLevel="0" collapsed="false">
      <c r="B967" s="17"/>
      <c r="E967" s="17"/>
      <c r="F967" s="17"/>
      <c r="G967" s="17"/>
      <c r="I967" s="17"/>
      <c r="M967" s="17"/>
      <c r="N967" s="17"/>
      <c r="O967" s="17"/>
      <c r="R967" s="17"/>
      <c r="S967" s="17"/>
      <c r="T967" s="17"/>
    </row>
    <row r="968" customFormat="false" ht="15" hidden="false" customHeight="true" outlineLevel="0" collapsed="false">
      <c r="B968" s="17"/>
      <c r="E968" s="17"/>
      <c r="F968" s="17"/>
      <c r="G968" s="17"/>
      <c r="I968" s="17"/>
      <c r="M968" s="17"/>
      <c r="N968" s="17"/>
      <c r="O968" s="17"/>
      <c r="R968" s="17"/>
      <c r="S968" s="17"/>
      <c r="T968" s="17"/>
    </row>
    <row r="969" customFormat="false" ht="15" hidden="false" customHeight="true" outlineLevel="0" collapsed="false">
      <c r="B969" s="17"/>
      <c r="E969" s="17"/>
      <c r="F969" s="17"/>
      <c r="G969" s="17"/>
      <c r="I969" s="17"/>
      <c r="M969" s="17"/>
      <c r="N969" s="17"/>
      <c r="O969" s="17"/>
      <c r="R969" s="17"/>
      <c r="S969" s="17"/>
      <c r="T969" s="17"/>
    </row>
    <row r="970" customFormat="false" ht="15" hidden="false" customHeight="true" outlineLevel="0" collapsed="false">
      <c r="B970" s="17"/>
      <c r="E970" s="17"/>
      <c r="F970" s="17"/>
      <c r="G970" s="17"/>
      <c r="I970" s="17"/>
      <c r="M970" s="17"/>
      <c r="N970" s="17"/>
      <c r="O970" s="17"/>
      <c r="R970" s="17"/>
      <c r="S970" s="17"/>
      <c r="T970" s="17"/>
    </row>
    <row r="971" customFormat="false" ht="15" hidden="false" customHeight="true" outlineLevel="0" collapsed="false">
      <c r="B971" s="17"/>
      <c r="E971" s="17"/>
      <c r="F971" s="17"/>
      <c r="G971" s="17"/>
      <c r="I971" s="17"/>
      <c r="M971" s="17"/>
      <c r="N971" s="17"/>
      <c r="O971" s="17"/>
      <c r="R971" s="17"/>
      <c r="S971" s="17"/>
      <c r="T971" s="17"/>
    </row>
    <row r="972" customFormat="false" ht="15" hidden="false" customHeight="true" outlineLevel="0" collapsed="false">
      <c r="B972" s="17"/>
      <c r="E972" s="17"/>
      <c r="F972" s="17"/>
      <c r="G972" s="17"/>
      <c r="I972" s="17"/>
      <c r="M972" s="17"/>
      <c r="N972" s="17"/>
      <c r="O972" s="17"/>
      <c r="R972" s="17"/>
      <c r="S972" s="17"/>
      <c r="T972" s="17"/>
    </row>
    <row r="973" customFormat="false" ht="15" hidden="false" customHeight="true" outlineLevel="0" collapsed="false">
      <c r="B973" s="17"/>
      <c r="E973" s="17"/>
      <c r="F973" s="17"/>
      <c r="G973" s="17"/>
      <c r="I973" s="17"/>
      <c r="M973" s="17"/>
      <c r="N973" s="17"/>
      <c r="O973" s="17"/>
      <c r="R973" s="17"/>
      <c r="S973" s="17"/>
      <c r="T973" s="17"/>
    </row>
    <row r="974" customFormat="false" ht="15" hidden="false" customHeight="true" outlineLevel="0" collapsed="false">
      <c r="B974" s="17"/>
      <c r="E974" s="17"/>
      <c r="F974" s="17"/>
      <c r="G974" s="17"/>
      <c r="I974" s="17"/>
      <c r="M974" s="17"/>
      <c r="N974" s="17"/>
      <c r="O974" s="17"/>
      <c r="R974" s="17"/>
      <c r="S974" s="17"/>
      <c r="T974" s="17"/>
    </row>
    <row r="975" customFormat="false" ht="15" hidden="false" customHeight="true" outlineLevel="0" collapsed="false">
      <c r="B975" s="17"/>
      <c r="E975" s="17"/>
      <c r="F975" s="17"/>
      <c r="G975" s="17"/>
      <c r="I975" s="17"/>
      <c r="M975" s="17"/>
      <c r="N975" s="17"/>
      <c r="O975" s="17"/>
      <c r="R975" s="17"/>
      <c r="S975" s="17"/>
      <c r="T975" s="17"/>
    </row>
    <row r="976" customFormat="false" ht="15" hidden="false" customHeight="true" outlineLevel="0" collapsed="false">
      <c r="B976" s="17"/>
      <c r="E976" s="17"/>
      <c r="F976" s="17"/>
      <c r="G976" s="17"/>
      <c r="I976" s="17"/>
      <c r="M976" s="17"/>
      <c r="N976" s="17"/>
      <c r="O976" s="17"/>
      <c r="R976" s="17"/>
      <c r="S976" s="17"/>
      <c r="T976" s="17"/>
    </row>
    <row r="977" customFormat="false" ht="15" hidden="false" customHeight="true" outlineLevel="0" collapsed="false">
      <c r="B977" s="17"/>
      <c r="E977" s="17"/>
      <c r="F977" s="17"/>
      <c r="G977" s="17"/>
      <c r="I977" s="17"/>
      <c r="M977" s="17"/>
      <c r="N977" s="17"/>
      <c r="O977" s="17"/>
      <c r="R977" s="17"/>
      <c r="S977" s="17"/>
      <c r="T977" s="17"/>
    </row>
    <row r="978" customFormat="false" ht="15" hidden="false" customHeight="true" outlineLevel="0" collapsed="false">
      <c r="B978" s="17"/>
      <c r="E978" s="17"/>
      <c r="F978" s="17"/>
      <c r="G978" s="17"/>
      <c r="I978" s="17"/>
      <c r="M978" s="17"/>
      <c r="N978" s="17"/>
      <c r="O978" s="17"/>
      <c r="R978" s="17"/>
      <c r="S978" s="17"/>
      <c r="T978" s="17"/>
    </row>
    <row r="979" customFormat="false" ht="15" hidden="false" customHeight="true" outlineLevel="0" collapsed="false">
      <c r="B979" s="17"/>
      <c r="E979" s="17"/>
      <c r="F979" s="17"/>
      <c r="G979" s="17"/>
      <c r="I979" s="17"/>
      <c r="M979" s="17"/>
      <c r="N979" s="17"/>
      <c r="O979" s="17"/>
      <c r="R979" s="17"/>
      <c r="S979" s="17"/>
      <c r="T979" s="17"/>
    </row>
    <row r="980" customFormat="false" ht="15" hidden="false" customHeight="true" outlineLevel="0" collapsed="false">
      <c r="B980" s="17"/>
      <c r="E980" s="17"/>
      <c r="F980" s="17"/>
      <c r="G980" s="17"/>
      <c r="I980" s="17"/>
      <c r="M980" s="17"/>
      <c r="N980" s="17"/>
      <c r="O980" s="17"/>
      <c r="R980" s="17"/>
      <c r="S980" s="17"/>
      <c r="T980" s="17"/>
    </row>
    <row r="981" customFormat="false" ht="15" hidden="false" customHeight="true" outlineLevel="0" collapsed="false">
      <c r="B981" s="17"/>
      <c r="E981" s="17"/>
      <c r="F981" s="17"/>
      <c r="G981" s="17"/>
      <c r="I981" s="17"/>
      <c r="M981" s="17"/>
      <c r="N981" s="17"/>
      <c r="O981" s="17"/>
      <c r="R981" s="17"/>
      <c r="S981" s="17"/>
      <c r="T981" s="17"/>
    </row>
    <row r="982" customFormat="false" ht="15" hidden="false" customHeight="true" outlineLevel="0" collapsed="false">
      <c r="B982" s="17"/>
      <c r="E982" s="17"/>
      <c r="F982" s="17"/>
      <c r="G982" s="17"/>
      <c r="I982" s="17"/>
      <c r="M982" s="17"/>
      <c r="N982" s="17"/>
      <c r="O982" s="17"/>
      <c r="R982" s="17"/>
      <c r="S982" s="17"/>
      <c r="T982" s="17"/>
    </row>
    <row r="983" customFormat="false" ht="15" hidden="false" customHeight="true" outlineLevel="0" collapsed="false">
      <c r="B983" s="17"/>
      <c r="E983" s="17"/>
      <c r="F983" s="17"/>
      <c r="G983" s="17"/>
      <c r="I983" s="17"/>
      <c r="M983" s="17"/>
      <c r="N983" s="17"/>
      <c r="O983" s="17"/>
      <c r="R983" s="17"/>
      <c r="S983" s="17"/>
      <c r="T983" s="17"/>
    </row>
    <row r="984" customFormat="false" ht="15" hidden="false" customHeight="true" outlineLevel="0" collapsed="false">
      <c r="B984" s="17"/>
      <c r="E984" s="17"/>
      <c r="F984" s="17"/>
      <c r="G984" s="17"/>
      <c r="I984" s="17"/>
      <c r="M984" s="17"/>
      <c r="N984" s="17"/>
      <c r="O984" s="17"/>
      <c r="R984" s="17"/>
      <c r="S984" s="17"/>
      <c r="T984" s="17"/>
    </row>
    <row r="985" customFormat="false" ht="15" hidden="false" customHeight="true" outlineLevel="0" collapsed="false">
      <c r="B985" s="17"/>
      <c r="E985" s="17"/>
      <c r="F985" s="17"/>
      <c r="G985" s="17"/>
      <c r="I985" s="17"/>
      <c r="M985" s="17"/>
      <c r="N985" s="17"/>
      <c r="O985" s="17"/>
      <c r="R985" s="17"/>
      <c r="S985" s="17"/>
      <c r="T985" s="17"/>
    </row>
    <row r="986" customFormat="false" ht="15" hidden="false" customHeight="true" outlineLevel="0" collapsed="false">
      <c r="B986" s="17"/>
      <c r="E986" s="17"/>
      <c r="F986" s="17"/>
      <c r="G986" s="17"/>
      <c r="I986" s="17"/>
      <c r="M986" s="17"/>
      <c r="N986" s="17"/>
      <c r="O986" s="17"/>
      <c r="R986" s="17"/>
      <c r="S986" s="17"/>
      <c r="T986" s="17"/>
    </row>
    <row r="987" customFormat="false" ht="15" hidden="false" customHeight="true" outlineLevel="0" collapsed="false">
      <c r="B987" s="17"/>
      <c r="E987" s="17"/>
      <c r="F987" s="17"/>
      <c r="G987" s="17"/>
      <c r="I987" s="17"/>
      <c r="M987" s="17"/>
      <c r="N987" s="17"/>
      <c r="O987" s="17"/>
      <c r="R987" s="17"/>
      <c r="S987" s="17"/>
      <c r="T987" s="17"/>
    </row>
    <row r="988" customFormat="false" ht="15" hidden="false" customHeight="true" outlineLevel="0" collapsed="false">
      <c r="B988" s="17"/>
      <c r="E988" s="17"/>
      <c r="F988" s="17"/>
      <c r="G988" s="17"/>
      <c r="I988" s="17"/>
      <c r="M988" s="17"/>
      <c r="N988" s="17"/>
      <c r="O988" s="17"/>
      <c r="R988" s="17"/>
      <c r="S988" s="17"/>
      <c r="T988" s="17"/>
    </row>
    <row r="989" customFormat="false" ht="15" hidden="false" customHeight="true" outlineLevel="0" collapsed="false">
      <c r="B989" s="17"/>
      <c r="E989" s="17"/>
      <c r="F989" s="17"/>
      <c r="G989" s="17"/>
      <c r="I989" s="17"/>
      <c r="M989" s="17"/>
      <c r="N989" s="17"/>
      <c r="O989" s="17"/>
      <c r="R989" s="17"/>
      <c r="S989" s="17"/>
      <c r="T989" s="17"/>
    </row>
    <row r="990" customFormat="false" ht="15" hidden="false" customHeight="true" outlineLevel="0" collapsed="false">
      <c r="B990" s="17"/>
      <c r="E990" s="17"/>
      <c r="F990" s="17"/>
      <c r="G990" s="17"/>
      <c r="I990" s="17"/>
      <c r="M990" s="17"/>
      <c r="N990" s="17"/>
      <c r="O990" s="17"/>
      <c r="R990" s="17"/>
      <c r="S990" s="17"/>
      <c r="T990" s="17"/>
    </row>
    <row r="991" customFormat="false" ht="15" hidden="false" customHeight="true" outlineLevel="0" collapsed="false">
      <c r="B991" s="17"/>
      <c r="E991" s="17"/>
      <c r="F991" s="17"/>
      <c r="G991" s="17"/>
      <c r="I991" s="17"/>
      <c r="M991" s="17"/>
      <c r="N991" s="17"/>
      <c r="O991" s="17"/>
      <c r="R991" s="17"/>
      <c r="S991" s="17"/>
      <c r="T991" s="17"/>
    </row>
    <row r="992" customFormat="false" ht="15" hidden="false" customHeight="true" outlineLevel="0" collapsed="false">
      <c r="B992" s="17"/>
      <c r="E992" s="17"/>
      <c r="F992" s="17"/>
      <c r="G992" s="17"/>
      <c r="I992" s="17"/>
      <c r="M992" s="17"/>
      <c r="N992" s="17"/>
      <c r="O992" s="17"/>
      <c r="R992" s="17"/>
      <c r="S992" s="17"/>
      <c r="T992" s="17"/>
    </row>
    <row r="993" customFormat="false" ht="15" hidden="false" customHeight="true" outlineLevel="0" collapsed="false">
      <c r="B993" s="17"/>
      <c r="E993" s="17"/>
      <c r="F993" s="17"/>
      <c r="G993" s="17"/>
      <c r="I993" s="17"/>
      <c r="M993" s="17"/>
      <c r="N993" s="17"/>
      <c r="O993" s="17"/>
      <c r="R993" s="17"/>
      <c r="S993" s="17"/>
      <c r="T993" s="17"/>
    </row>
    <row r="994" customFormat="false" ht="15" hidden="false" customHeight="true" outlineLevel="0" collapsed="false">
      <c r="B994" s="17"/>
      <c r="E994" s="17"/>
      <c r="F994" s="17"/>
      <c r="G994" s="17"/>
      <c r="I994" s="17"/>
      <c r="M994" s="17"/>
      <c r="N994" s="17"/>
      <c r="O994" s="17"/>
      <c r="R994" s="17"/>
      <c r="S994" s="17"/>
      <c r="T994" s="17"/>
    </row>
    <row r="995" customFormat="false" ht="15" hidden="false" customHeight="true" outlineLevel="0" collapsed="false">
      <c r="B995" s="17"/>
      <c r="E995" s="17"/>
      <c r="F995" s="17"/>
      <c r="G995" s="17"/>
      <c r="I995" s="17"/>
      <c r="M995" s="17"/>
      <c r="N995" s="17"/>
      <c r="O995" s="17"/>
      <c r="R995" s="17"/>
      <c r="S995" s="17"/>
      <c r="T995" s="17"/>
    </row>
    <row r="996" customFormat="false" ht="15" hidden="false" customHeight="true" outlineLevel="0" collapsed="false">
      <c r="B996" s="17"/>
      <c r="E996" s="17"/>
      <c r="F996" s="17"/>
      <c r="G996" s="17"/>
      <c r="I996" s="17"/>
      <c r="M996" s="17"/>
      <c r="N996" s="17"/>
      <c r="O996" s="17"/>
      <c r="R996" s="17"/>
      <c r="S996" s="17"/>
      <c r="T996" s="17"/>
    </row>
    <row r="997" customFormat="false" ht="15" hidden="false" customHeight="true" outlineLevel="0" collapsed="false">
      <c r="B997" s="17"/>
      <c r="E997" s="17"/>
      <c r="F997" s="17"/>
      <c r="G997" s="17"/>
      <c r="I997" s="17"/>
      <c r="M997" s="17"/>
      <c r="N997" s="17"/>
      <c r="O997" s="17"/>
      <c r="R997" s="17"/>
      <c r="S997" s="17"/>
      <c r="T997" s="17"/>
    </row>
    <row r="998" customFormat="false" ht="15" hidden="false" customHeight="true" outlineLevel="0" collapsed="false">
      <c r="B998" s="17"/>
      <c r="E998" s="17"/>
      <c r="F998" s="17"/>
      <c r="G998" s="17"/>
      <c r="I998" s="17"/>
      <c r="M998" s="17"/>
      <c r="N998" s="17"/>
      <c r="O998" s="17"/>
      <c r="R998" s="17"/>
      <c r="S998" s="17"/>
      <c r="T998" s="17"/>
    </row>
    <row r="999" customFormat="false" ht="15" hidden="false" customHeight="true" outlineLevel="0" collapsed="false">
      <c r="B999" s="17"/>
      <c r="E999" s="17"/>
      <c r="F999" s="17"/>
      <c r="G999" s="17"/>
      <c r="I999" s="17"/>
      <c r="M999" s="17"/>
      <c r="N999" s="17"/>
      <c r="O999" s="17"/>
      <c r="R999" s="17"/>
      <c r="S999" s="17"/>
      <c r="T999" s="17"/>
    </row>
    <row r="1000" customFormat="false" ht="15" hidden="false" customHeight="true" outlineLevel="0" collapsed="false">
      <c r="B1000" s="17"/>
      <c r="E1000" s="17"/>
      <c r="F1000" s="17"/>
      <c r="G1000" s="17"/>
      <c r="I1000" s="17"/>
      <c r="M1000" s="17"/>
      <c r="N1000" s="17"/>
      <c r="O1000" s="17"/>
      <c r="R1000" s="17"/>
      <c r="S1000" s="17"/>
      <c r="T1000" s="17"/>
    </row>
    <row r="1001" customFormat="false" ht="15" hidden="false" customHeight="true" outlineLevel="0" collapsed="false">
      <c r="B1001" s="17"/>
      <c r="E1001" s="17"/>
      <c r="F1001" s="17"/>
      <c r="G1001" s="17"/>
      <c r="I1001" s="17"/>
      <c r="M1001" s="17"/>
      <c r="N1001" s="17"/>
      <c r="O1001" s="17"/>
      <c r="R1001" s="17"/>
      <c r="S1001" s="17"/>
      <c r="T1001" s="17"/>
    </row>
    <row r="1002" customFormat="false" ht="15" hidden="false" customHeight="true" outlineLevel="0" collapsed="false">
      <c r="B1002" s="17"/>
      <c r="E1002" s="17"/>
      <c r="F1002" s="17"/>
      <c r="G1002" s="17"/>
      <c r="I1002" s="17"/>
      <c r="M1002" s="17"/>
      <c r="N1002" s="17"/>
      <c r="O1002" s="17"/>
      <c r="R1002" s="17"/>
      <c r="S1002" s="17"/>
      <c r="T1002" s="17"/>
    </row>
    <row r="1003" customFormat="false" ht="15" hidden="false" customHeight="true" outlineLevel="0" collapsed="false">
      <c r="B1003" s="17"/>
      <c r="E1003" s="17"/>
      <c r="F1003" s="17"/>
      <c r="G1003" s="17"/>
      <c r="I1003" s="17"/>
      <c r="M1003" s="17"/>
      <c r="N1003" s="17"/>
      <c r="O1003" s="17"/>
      <c r="R1003" s="17"/>
      <c r="S1003" s="17"/>
      <c r="T1003" s="17"/>
    </row>
    <row r="1004" customFormat="false" ht="15" hidden="false" customHeight="true" outlineLevel="0" collapsed="false">
      <c r="B1004" s="17"/>
      <c r="E1004" s="17"/>
      <c r="F1004" s="17"/>
      <c r="G1004" s="17"/>
      <c r="I1004" s="17"/>
      <c r="M1004" s="17"/>
      <c r="N1004" s="17"/>
      <c r="O1004" s="17"/>
      <c r="R1004" s="17"/>
      <c r="S1004" s="17"/>
      <c r="T1004" s="17"/>
    </row>
    <row r="1005" customFormat="false" ht="15" hidden="false" customHeight="true" outlineLevel="0" collapsed="false">
      <c r="B1005" s="17"/>
      <c r="E1005" s="17"/>
      <c r="F1005" s="17"/>
      <c r="G1005" s="17"/>
      <c r="I1005" s="17"/>
      <c r="M1005" s="17"/>
      <c r="N1005" s="17"/>
      <c r="O1005" s="17"/>
      <c r="R1005" s="17"/>
      <c r="S1005" s="17"/>
      <c r="T1005" s="17"/>
    </row>
    <row r="1006" customFormat="false" ht="15" hidden="false" customHeight="true" outlineLevel="0" collapsed="false">
      <c r="B1006" s="17"/>
      <c r="E1006" s="17"/>
      <c r="F1006" s="17"/>
      <c r="G1006" s="17"/>
      <c r="I1006" s="17"/>
      <c r="M1006" s="17"/>
      <c r="N1006" s="17"/>
      <c r="O1006" s="17"/>
      <c r="R1006" s="17"/>
      <c r="S1006" s="17"/>
      <c r="T1006" s="17"/>
    </row>
    <row r="1007" customFormat="false" ht="15" hidden="false" customHeight="true" outlineLevel="0" collapsed="false">
      <c r="B1007" s="17"/>
      <c r="E1007" s="17"/>
      <c r="F1007" s="17"/>
      <c r="G1007" s="17"/>
      <c r="I1007" s="17"/>
      <c r="M1007" s="17"/>
      <c r="N1007" s="17"/>
      <c r="O1007" s="17"/>
      <c r="R1007" s="17"/>
      <c r="S1007" s="17"/>
      <c r="T1007" s="17"/>
    </row>
    <row r="1008" customFormat="false" ht="15" hidden="false" customHeight="true" outlineLevel="0" collapsed="false">
      <c r="B1008" s="17"/>
      <c r="E1008" s="17"/>
      <c r="F1008" s="17"/>
      <c r="G1008" s="17"/>
      <c r="I1008" s="17"/>
      <c r="M1008" s="17"/>
      <c r="N1008" s="17"/>
      <c r="O1008" s="17"/>
      <c r="R1008" s="17"/>
      <c r="S1008" s="17"/>
      <c r="T1008" s="17"/>
    </row>
    <row r="1009" customFormat="false" ht="15" hidden="false" customHeight="true" outlineLevel="0" collapsed="false">
      <c r="B1009" s="17"/>
      <c r="E1009" s="17"/>
      <c r="F1009" s="17"/>
      <c r="G1009" s="17"/>
      <c r="I1009" s="17"/>
      <c r="M1009" s="17"/>
      <c r="N1009" s="17"/>
      <c r="O1009" s="17"/>
      <c r="R1009" s="17"/>
      <c r="S1009" s="17"/>
      <c r="T1009" s="17"/>
    </row>
    <row r="1010" customFormat="false" ht="15" hidden="false" customHeight="true" outlineLevel="0" collapsed="false">
      <c r="B1010" s="17"/>
      <c r="E1010" s="17"/>
      <c r="F1010" s="17"/>
      <c r="G1010" s="17"/>
      <c r="I1010" s="17"/>
      <c r="M1010" s="17"/>
      <c r="N1010" s="17"/>
      <c r="O1010" s="17"/>
      <c r="R1010" s="17"/>
      <c r="S1010" s="17"/>
      <c r="T1010" s="17"/>
    </row>
    <row r="1011" customFormat="false" ht="15" hidden="false" customHeight="true" outlineLevel="0" collapsed="false">
      <c r="B1011" s="17"/>
      <c r="E1011" s="17"/>
      <c r="F1011" s="17"/>
      <c r="G1011" s="17"/>
      <c r="I1011" s="17"/>
      <c r="M1011" s="17"/>
      <c r="N1011" s="17"/>
      <c r="O1011" s="17"/>
      <c r="R1011" s="17"/>
      <c r="S1011" s="17"/>
      <c r="T1011" s="17"/>
    </row>
    <row r="1012" customFormat="false" ht="15" hidden="false" customHeight="true" outlineLevel="0" collapsed="false">
      <c r="B1012" s="17"/>
      <c r="E1012" s="17"/>
      <c r="F1012" s="17"/>
      <c r="G1012" s="17"/>
      <c r="I1012" s="17"/>
      <c r="M1012" s="17"/>
      <c r="N1012" s="17"/>
      <c r="O1012" s="17"/>
      <c r="R1012" s="17"/>
      <c r="S1012" s="17"/>
      <c r="T1012" s="17"/>
    </row>
    <row r="1013" customFormat="false" ht="15" hidden="false" customHeight="true" outlineLevel="0" collapsed="false">
      <c r="B1013" s="17"/>
      <c r="E1013" s="17"/>
      <c r="F1013" s="17"/>
      <c r="G1013" s="17"/>
      <c r="I1013" s="17"/>
      <c r="M1013" s="17"/>
      <c r="N1013" s="17"/>
      <c r="O1013" s="17"/>
      <c r="R1013" s="17"/>
      <c r="S1013" s="17"/>
      <c r="T1013" s="17"/>
    </row>
    <row r="1014" customFormat="false" ht="15" hidden="false" customHeight="true" outlineLevel="0" collapsed="false">
      <c r="B1014" s="17"/>
      <c r="E1014" s="17"/>
      <c r="F1014" s="17"/>
      <c r="G1014" s="17"/>
      <c r="I1014" s="17"/>
      <c r="M1014" s="17"/>
      <c r="N1014" s="17"/>
      <c r="O1014" s="17"/>
      <c r="R1014" s="17"/>
      <c r="S1014" s="17"/>
      <c r="T1014" s="17"/>
    </row>
    <row r="1015" customFormat="false" ht="15" hidden="false" customHeight="true" outlineLevel="0" collapsed="false">
      <c r="B1015" s="17"/>
      <c r="E1015" s="17"/>
      <c r="F1015" s="17"/>
      <c r="G1015" s="17"/>
      <c r="I1015" s="17"/>
      <c r="M1015" s="17"/>
      <c r="N1015" s="17"/>
      <c r="O1015" s="17"/>
      <c r="R1015" s="17"/>
      <c r="S1015" s="17"/>
      <c r="T1015" s="17"/>
    </row>
    <row r="1016" customFormat="false" ht="15" hidden="false" customHeight="true" outlineLevel="0" collapsed="false">
      <c r="B1016" s="17"/>
      <c r="E1016" s="17"/>
      <c r="F1016" s="17"/>
      <c r="G1016" s="17"/>
      <c r="I1016" s="17"/>
      <c r="M1016" s="17"/>
      <c r="N1016" s="17"/>
      <c r="O1016" s="17"/>
      <c r="R1016" s="17"/>
      <c r="S1016" s="17"/>
      <c r="T1016" s="17"/>
    </row>
    <row r="1017" customFormat="false" ht="15" hidden="false" customHeight="true" outlineLevel="0" collapsed="false">
      <c r="B1017" s="17"/>
      <c r="E1017" s="17"/>
      <c r="F1017" s="17"/>
      <c r="G1017" s="17"/>
      <c r="I1017" s="17"/>
      <c r="M1017" s="17"/>
      <c r="N1017" s="17"/>
      <c r="O1017" s="17"/>
      <c r="R1017" s="17"/>
      <c r="S1017" s="17"/>
      <c r="T1017" s="17"/>
    </row>
    <row r="1018" customFormat="false" ht="15" hidden="false" customHeight="true" outlineLevel="0" collapsed="false">
      <c r="B1018" s="17"/>
      <c r="E1018" s="17"/>
      <c r="F1018" s="17"/>
      <c r="G1018" s="17"/>
      <c r="I1018" s="17"/>
      <c r="M1018" s="17"/>
      <c r="N1018" s="17"/>
      <c r="O1018" s="17"/>
      <c r="R1018" s="17"/>
      <c r="S1018" s="17"/>
      <c r="T1018" s="17"/>
    </row>
    <row r="1019" customFormat="false" ht="15" hidden="false" customHeight="true" outlineLevel="0" collapsed="false">
      <c r="B1019" s="17"/>
      <c r="E1019" s="17"/>
      <c r="F1019" s="17"/>
      <c r="G1019" s="17"/>
      <c r="I1019" s="17"/>
      <c r="M1019" s="17"/>
      <c r="N1019" s="17"/>
      <c r="O1019" s="17"/>
      <c r="R1019" s="17"/>
      <c r="S1019" s="17"/>
      <c r="T1019" s="17"/>
    </row>
    <row r="1020" customFormat="false" ht="15" hidden="false" customHeight="true" outlineLevel="0" collapsed="false">
      <c r="B1020" s="17"/>
      <c r="E1020" s="17"/>
      <c r="F1020" s="17"/>
      <c r="G1020" s="17"/>
      <c r="I1020" s="17"/>
      <c r="M1020" s="17"/>
      <c r="N1020" s="17"/>
      <c r="O1020" s="17"/>
      <c r="R1020" s="17"/>
      <c r="S1020" s="17"/>
      <c r="T1020" s="17"/>
    </row>
    <row r="1021" customFormat="false" ht="15" hidden="false" customHeight="true" outlineLevel="0" collapsed="false">
      <c r="B1021" s="17"/>
      <c r="E1021" s="17"/>
      <c r="F1021" s="17"/>
      <c r="G1021" s="17"/>
      <c r="I1021" s="17"/>
      <c r="M1021" s="17"/>
      <c r="N1021" s="17"/>
      <c r="O1021" s="17"/>
      <c r="R1021" s="17"/>
      <c r="S1021" s="17"/>
      <c r="T1021" s="17"/>
    </row>
    <row r="1022" customFormat="false" ht="15" hidden="false" customHeight="true" outlineLevel="0" collapsed="false">
      <c r="B1022" s="17"/>
      <c r="E1022" s="17"/>
      <c r="F1022" s="17"/>
      <c r="G1022" s="17"/>
      <c r="I1022" s="17"/>
      <c r="M1022" s="17"/>
      <c r="N1022" s="17"/>
      <c r="O1022" s="17"/>
      <c r="R1022" s="17"/>
      <c r="S1022" s="17"/>
      <c r="T1022" s="17"/>
    </row>
    <row r="1023" customFormat="false" ht="15" hidden="false" customHeight="true" outlineLevel="0" collapsed="false">
      <c r="B1023" s="17"/>
      <c r="E1023" s="17"/>
      <c r="F1023" s="17"/>
      <c r="G1023" s="17"/>
      <c r="I1023" s="17"/>
      <c r="M1023" s="17"/>
      <c r="N1023" s="17"/>
      <c r="O1023" s="17"/>
      <c r="R1023" s="17"/>
      <c r="S1023" s="17"/>
      <c r="T1023" s="17"/>
    </row>
  </sheetData>
  <mergeCells count="2">
    <mergeCell ref="A1:U1"/>
    <mergeCell ref="A2:U2"/>
  </mergeCells>
  <dataValidations count="5">
    <dataValidation allowBlank="true" errorStyle="stop" operator="between" showDropDown="false" showErrorMessage="false" showInputMessage="false" sqref="B5:B1023" type="list">
      <formula1>"Venture-funded AI tool company,India-operating hardware &amp; consumer brand,Indian AI infrastructure,Media/VFX/exhibition,Global enterprise"</formula1>
      <formula2>0</formula2>
    </dataValidation>
    <dataValidation allowBlank="true" errorStyle="stop" operator="between" showDropDown="false" showErrorMessage="false" showInputMessage="false" sqref="E5:G1023 N5:N1023 R5:T1023" type="list">
      <formula1>"Y,N,Unknown"</formula1>
      <formula2>0</formula2>
    </dataValidation>
    <dataValidation allowBlank="true" errorStyle="stop" operator="between" showDropDown="false" showErrorMessage="false" showInputMessage="false" sqref="I5:I1023" type="list">
      <formula1>"Sponsor,Organizer,Either"</formula1>
      <formula2>0</formula2>
    </dataValidation>
    <dataValidation allowBlank="true" errorStyle="stop" operator="between" showDropDown="false" showErrorMessage="false" showInputMessage="false" sqref="M5:M1023" type="list">
      <formula1>"Email,Form,LinkedIn only,None yet"</formula1>
      <formula2>0</formula2>
    </dataValidation>
    <dataValidation allowBlank="true" errorStyle="stop" operator="between" showDropDown="false" showErrorMessage="false" showInputMessage="false" sqref="O5:O1023" type="list">
      <formula1>"Not started,Researching,Ready to send,Sent,Replied,Meeting booked,Dormant,Excluded"</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N135"/>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1" width="8"/>
    <col collapsed="false" customWidth="true" hidden="false" outlineLevel="0" max="2" min="2" style="1" width="12"/>
    <col collapsed="false" customWidth="true" hidden="false" outlineLevel="0" max="3" min="3" style="1" width="20"/>
    <col collapsed="false" customWidth="true" hidden="false" outlineLevel="0" max="4" min="4" style="1" width="24"/>
    <col collapsed="false" customWidth="true" hidden="false" outlineLevel="0" max="5" min="5" style="1" width="22"/>
    <col collapsed="false" customWidth="true" hidden="false" outlineLevel="0" max="6" min="6" style="1" width="30"/>
    <col collapsed="false" customWidth="true" hidden="false" outlineLevel="0" max="7" min="7" style="1" width="16"/>
    <col collapsed="false" customWidth="true" hidden="false" outlineLevel="0" max="10" min="8" style="1" width="14"/>
    <col collapsed="false" customWidth="true" hidden="false" outlineLevel="0" max="11" min="11" style="1" width="10"/>
    <col collapsed="false" customWidth="true" hidden="false" outlineLevel="0" max="13" min="12" style="1" width="12"/>
    <col collapsed="false" customWidth="true" hidden="false" outlineLevel="0" max="14" min="14" style="1" width="30"/>
  </cols>
  <sheetData>
    <row r="1" customFormat="false" ht="19.5" hidden="false" customHeight="true" outlineLevel="0" collapsed="false">
      <c r="A1" s="2" t="s">
        <v>842</v>
      </c>
      <c r="B1" s="2"/>
      <c r="C1" s="2"/>
      <c r="D1" s="2"/>
      <c r="E1" s="2"/>
      <c r="F1" s="2"/>
      <c r="G1" s="2"/>
      <c r="H1" s="2"/>
      <c r="I1" s="2"/>
      <c r="J1" s="2"/>
      <c r="K1" s="2"/>
      <c r="L1" s="2"/>
      <c r="M1" s="2"/>
      <c r="N1" s="2"/>
    </row>
    <row r="2" customFormat="false" ht="13.5" hidden="false" customHeight="true" outlineLevel="0" collapsed="false">
      <c r="A2" s="3" t="s">
        <v>843</v>
      </c>
      <c r="B2" s="3"/>
      <c r="C2" s="3"/>
      <c r="D2" s="3"/>
      <c r="E2" s="3"/>
      <c r="F2" s="3"/>
      <c r="G2" s="3"/>
      <c r="H2" s="3"/>
      <c r="I2" s="3"/>
      <c r="J2" s="3"/>
      <c r="K2" s="3"/>
      <c r="L2" s="3"/>
      <c r="M2" s="3"/>
      <c r="N2" s="3"/>
    </row>
    <row r="3" customFormat="false" ht="33.75" hidden="false" customHeight="true" outlineLevel="0" collapsed="false">
      <c r="A3" s="13" t="s">
        <v>844</v>
      </c>
      <c r="B3" s="13" t="s">
        <v>845</v>
      </c>
      <c r="C3" s="13" t="s">
        <v>846</v>
      </c>
      <c r="D3" s="13" t="s">
        <v>847</v>
      </c>
      <c r="E3" s="13" t="s">
        <v>46</v>
      </c>
      <c r="F3" s="13" t="s">
        <v>848</v>
      </c>
      <c r="G3" s="13" t="s">
        <v>849</v>
      </c>
      <c r="H3" s="13" t="s">
        <v>850</v>
      </c>
      <c r="I3" s="13" t="s">
        <v>851</v>
      </c>
      <c r="J3" s="13" t="s">
        <v>852</v>
      </c>
      <c r="K3" s="13" t="s">
        <v>853</v>
      </c>
      <c r="L3" s="13" t="s">
        <v>854</v>
      </c>
      <c r="M3" s="13" t="s">
        <v>855</v>
      </c>
      <c r="N3" s="13" t="s">
        <v>66</v>
      </c>
    </row>
    <row r="4" customFormat="false" ht="15" hidden="false" customHeight="true" outlineLevel="0" collapsed="false">
      <c r="A4" s="14" t="n">
        <v>1</v>
      </c>
      <c r="B4" s="14" t="s">
        <v>78</v>
      </c>
      <c r="C4" s="14" t="s">
        <v>856</v>
      </c>
      <c r="D4" s="14" t="s">
        <v>857</v>
      </c>
      <c r="E4" s="14" t="s">
        <v>67</v>
      </c>
      <c r="F4" s="14" t="s">
        <v>858</v>
      </c>
      <c r="G4" s="14" t="s">
        <v>71</v>
      </c>
      <c r="H4" s="14"/>
      <c r="I4" s="14" t="s">
        <v>859</v>
      </c>
      <c r="J4" s="14"/>
      <c r="K4" s="14" t="s">
        <v>72</v>
      </c>
      <c r="L4" s="14"/>
      <c r="M4" s="14"/>
      <c r="N4" s="14" t="s">
        <v>79</v>
      </c>
    </row>
    <row r="5" customFormat="false" ht="15" hidden="false" customHeight="true" outlineLevel="0" collapsed="false">
      <c r="A5" s="15" t="n">
        <v>1</v>
      </c>
      <c r="B5" s="15" t="s">
        <v>78</v>
      </c>
      <c r="C5" s="15" t="s">
        <v>860</v>
      </c>
      <c r="D5" s="15" t="s">
        <v>861</v>
      </c>
      <c r="E5" s="15" t="s">
        <v>114</v>
      </c>
      <c r="F5" s="15" t="s">
        <v>862</v>
      </c>
      <c r="G5" s="15" t="s">
        <v>71</v>
      </c>
      <c r="H5" s="15"/>
      <c r="I5" s="15" t="s">
        <v>859</v>
      </c>
      <c r="J5" s="15"/>
      <c r="K5" s="15" t="s">
        <v>72</v>
      </c>
      <c r="L5" s="15"/>
      <c r="M5" s="15"/>
      <c r="N5" s="15" t="s">
        <v>863</v>
      </c>
    </row>
    <row r="6" customFormat="false" ht="15" hidden="false" customHeight="true" outlineLevel="0" collapsed="false">
      <c r="A6" s="15" t="n">
        <v>1</v>
      </c>
      <c r="B6" s="15" t="s">
        <v>78</v>
      </c>
      <c r="C6" s="15" t="s">
        <v>864</v>
      </c>
      <c r="D6" s="15" t="s">
        <v>865</v>
      </c>
      <c r="E6" s="15" t="s">
        <v>866</v>
      </c>
      <c r="F6" s="15" t="s">
        <v>867</v>
      </c>
      <c r="G6" s="15" t="s">
        <v>71</v>
      </c>
      <c r="H6" s="15"/>
      <c r="I6" s="15" t="s">
        <v>859</v>
      </c>
      <c r="J6" s="15"/>
      <c r="K6" s="15" t="s">
        <v>72</v>
      </c>
      <c r="L6" s="15"/>
      <c r="M6" s="15"/>
      <c r="N6" s="15" t="s">
        <v>868</v>
      </c>
    </row>
    <row r="7" customFormat="false" ht="15" hidden="false" customHeight="true" outlineLevel="0" collapsed="false">
      <c r="A7" s="15" t="n">
        <v>1</v>
      </c>
      <c r="B7" s="15" t="s">
        <v>78</v>
      </c>
      <c r="C7" s="15" t="s">
        <v>869</v>
      </c>
      <c r="D7" s="15" t="s">
        <v>870</v>
      </c>
      <c r="E7" s="15" t="s">
        <v>118</v>
      </c>
      <c r="F7" s="15" t="s">
        <v>871</v>
      </c>
      <c r="G7" s="15" t="s">
        <v>71</v>
      </c>
      <c r="H7" s="15"/>
      <c r="I7" s="15" t="s">
        <v>859</v>
      </c>
      <c r="J7" s="15"/>
      <c r="K7" s="15" t="s">
        <v>72</v>
      </c>
      <c r="L7" s="15"/>
      <c r="M7" s="15"/>
      <c r="N7" s="15" t="s">
        <v>872</v>
      </c>
    </row>
    <row r="8" customFormat="false" ht="15" hidden="false" customHeight="true" outlineLevel="0" collapsed="false">
      <c r="A8" s="15" t="n">
        <v>1</v>
      </c>
      <c r="B8" s="15" t="s">
        <v>78</v>
      </c>
      <c r="C8" s="15" t="s">
        <v>873</v>
      </c>
      <c r="D8" s="15" t="s">
        <v>874</v>
      </c>
      <c r="E8" s="15" t="s">
        <v>875</v>
      </c>
      <c r="F8" s="15" t="s">
        <v>876</v>
      </c>
      <c r="G8" s="15" t="s">
        <v>71</v>
      </c>
      <c r="H8" s="15"/>
      <c r="I8" s="15" t="s">
        <v>859</v>
      </c>
      <c r="J8" s="15"/>
      <c r="K8" s="15" t="s">
        <v>72</v>
      </c>
      <c r="L8" s="15"/>
      <c r="M8" s="15"/>
      <c r="N8" s="15" t="s">
        <v>877</v>
      </c>
    </row>
    <row r="9" customFormat="false" ht="15" hidden="false" customHeight="true" outlineLevel="0" collapsed="false">
      <c r="A9" s="15" t="n">
        <v>1</v>
      </c>
      <c r="B9" s="15" t="s">
        <v>78</v>
      </c>
      <c r="C9" s="15" t="s">
        <v>878</v>
      </c>
      <c r="D9" s="15" t="s">
        <v>879</v>
      </c>
      <c r="E9" s="15" t="s">
        <v>880</v>
      </c>
      <c r="F9" s="15" t="s">
        <v>881</v>
      </c>
      <c r="G9" s="15" t="s">
        <v>71</v>
      </c>
      <c r="H9" s="15"/>
      <c r="I9" s="15" t="s">
        <v>859</v>
      </c>
      <c r="J9" s="15"/>
      <c r="K9" s="15" t="s">
        <v>72</v>
      </c>
      <c r="L9" s="15"/>
      <c r="M9" s="15"/>
      <c r="N9" s="15" t="s">
        <v>882</v>
      </c>
    </row>
    <row r="10" customFormat="false" ht="15" hidden="false" customHeight="true" outlineLevel="0" collapsed="false">
      <c r="A10" s="15" t="n">
        <v>1</v>
      </c>
      <c r="B10" s="15" t="s">
        <v>78</v>
      </c>
      <c r="C10" s="15" t="s">
        <v>883</v>
      </c>
      <c r="D10" s="15" t="s">
        <v>884</v>
      </c>
      <c r="E10" s="15" t="s">
        <v>149</v>
      </c>
      <c r="F10" s="15" t="s">
        <v>885</v>
      </c>
      <c r="G10" s="15" t="s">
        <v>71</v>
      </c>
      <c r="H10" s="15"/>
      <c r="I10" s="15" t="s">
        <v>859</v>
      </c>
      <c r="J10" s="15"/>
      <c r="K10" s="15" t="s">
        <v>72</v>
      </c>
      <c r="L10" s="15"/>
      <c r="M10" s="15"/>
      <c r="N10" s="15" t="s">
        <v>886</v>
      </c>
    </row>
    <row r="11" customFormat="false" ht="15" hidden="false" customHeight="true" outlineLevel="0" collapsed="false">
      <c r="A11" s="15" t="n">
        <v>1</v>
      </c>
      <c r="B11" s="15" t="s">
        <v>78</v>
      </c>
      <c r="C11" s="15" t="s">
        <v>887</v>
      </c>
      <c r="D11" s="15" t="s">
        <v>888</v>
      </c>
      <c r="E11" s="15" t="s">
        <v>889</v>
      </c>
      <c r="F11" s="15" t="s">
        <v>890</v>
      </c>
      <c r="G11" s="15" t="s">
        <v>71</v>
      </c>
      <c r="H11" s="15"/>
      <c r="I11" s="15" t="s">
        <v>859</v>
      </c>
      <c r="J11" s="15"/>
      <c r="K11" s="15" t="s">
        <v>72</v>
      </c>
      <c r="L11" s="15"/>
      <c r="M11" s="15"/>
      <c r="N11" s="15" t="s">
        <v>891</v>
      </c>
    </row>
    <row r="12" customFormat="false" ht="15" hidden="false" customHeight="true" outlineLevel="0" collapsed="false">
      <c r="A12" s="15" t="n">
        <v>1</v>
      </c>
      <c r="B12" s="15" t="s">
        <v>78</v>
      </c>
      <c r="C12" s="15" t="s">
        <v>892</v>
      </c>
      <c r="D12" s="15" t="s">
        <v>893</v>
      </c>
      <c r="E12" s="15" t="s">
        <v>894</v>
      </c>
      <c r="F12" s="15" t="s">
        <v>895</v>
      </c>
      <c r="G12" s="15" t="s">
        <v>71</v>
      </c>
      <c r="H12" s="15"/>
      <c r="I12" s="15" t="s">
        <v>859</v>
      </c>
      <c r="J12" s="15"/>
      <c r="K12" s="15" t="s">
        <v>72</v>
      </c>
      <c r="L12" s="15"/>
      <c r="M12" s="15"/>
      <c r="N12" s="15" t="s">
        <v>896</v>
      </c>
    </row>
    <row r="13" customFormat="false" ht="15" hidden="false" customHeight="true" outlineLevel="0" collapsed="false">
      <c r="A13" s="15" t="n">
        <v>1</v>
      </c>
      <c r="B13" s="15" t="s">
        <v>78</v>
      </c>
      <c r="C13" s="15" t="s">
        <v>897</v>
      </c>
      <c r="D13" s="15" t="s">
        <v>898</v>
      </c>
      <c r="E13" s="15" t="s">
        <v>899</v>
      </c>
      <c r="F13" s="15" t="s">
        <v>900</v>
      </c>
      <c r="G13" s="15" t="s">
        <v>71</v>
      </c>
      <c r="H13" s="15"/>
      <c r="I13" s="15" t="s">
        <v>859</v>
      </c>
      <c r="J13" s="15"/>
      <c r="K13" s="15" t="s">
        <v>72</v>
      </c>
      <c r="L13" s="15"/>
      <c r="M13" s="15"/>
      <c r="N13" s="15" t="s">
        <v>901</v>
      </c>
    </row>
    <row r="14" customFormat="false" ht="15" hidden="false" customHeight="true" outlineLevel="0" collapsed="false">
      <c r="A14" s="15" t="n">
        <v>1</v>
      </c>
      <c r="B14" s="15" t="s">
        <v>78</v>
      </c>
      <c r="C14" s="15" t="s">
        <v>902</v>
      </c>
      <c r="D14" s="15" t="s">
        <v>903</v>
      </c>
      <c r="E14" s="15" t="s">
        <v>161</v>
      </c>
      <c r="F14" s="15" t="s">
        <v>904</v>
      </c>
      <c r="G14" s="15" t="s">
        <v>71</v>
      </c>
      <c r="H14" s="15"/>
      <c r="I14" s="15" t="s">
        <v>859</v>
      </c>
      <c r="J14" s="15"/>
      <c r="K14" s="15" t="s">
        <v>72</v>
      </c>
      <c r="L14" s="15"/>
      <c r="M14" s="15"/>
      <c r="N14" s="15" t="s">
        <v>905</v>
      </c>
    </row>
    <row r="15" customFormat="false" ht="15" hidden="false" customHeight="true" outlineLevel="0" collapsed="false">
      <c r="A15" s="15" t="n">
        <v>1</v>
      </c>
      <c r="B15" s="15" t="s">
        <v>78</v>
      </c>
      <c r="C15" s="15" t="s">
        <v>906</v>
      </c>
      <c r="D15" s="15" t="s">
        <v>907</v>
      </c>
      <c r="E15" s="15" t="s">
        <v>161</v>
      </c>
      <c r="F15" s="15" t="s">
        <v>908</v>
      </c>
      <c r="G15" s="15" t="s">
        <v>71</v>
      </c>
      <c r="H15" s="15"/>
      <c r="I15" s="15" t="s">
        <v>859</v>
      </c>
      <c r="J15" s="15"/>
      <c r="K15" s="15" t="s">
        <v>72</v>
      </c>
      <c r="L15" s="15"/>
      <c r="M15" s="15"/>
      <c r="N15" s="15" t="s">
        <v>909</v>
      </c>
    </row>
    <row r="16" customFormat="false" ht="15" hidden="false" customHeight="true" outlineLevel="0" collapsed="false">
      <c r="A16" s="15" t="n">
        <v>1</v>
      </c>
      <c r="B16" s="15" t="s">
        <v>78</v>
      </c>
      <c r="C16" s="15" t="s">
        <v>910</v>
      </c>
      <c r="D16" s="15" t="s">
        <v>911</v>
      </c>
      <c r="E16" s="15" t="s">
        <v>243</v>
      </c>
      <c r="F16" s="15" t="s">
        <v>912</v>
      </c>
      <c r="G16" s="15" t="s">
        <v>71</v>
      </c>
      <c r="H16" s="15"/>
      <c r="I16" s="15" t="s">
        <v>859</v>
      </c>
      <c r="J16" s="15"/>
      <c r="K16" s="15" t="s">
        <v>72</v>
      </c>
      <c r="L16" s="15"/>
      <c r="M16" s="15"/>
      <c r="N16" s="15" t="s">
        <v>913</v>
      </c>
    </row>
    <row r="17" customFormat="false" ht="15" hidden="false" customHeight="true" outlineLevel="0" collapsed="false">
      <c r="A17" s="15" t="n">
        <v>1</v>
      </c>
      <c r="B17" s="15" t="s">
        <v>78</v>
      </c>
      <c r="C17" s="15" t="s">
        <v>914</v>
      </c>
      <c r="D17" s="15" t="s">
        <v>915</v>
      </c>
      <c r="E17" s="15" t="s">
        <v>243</v>
      </c>
      <c r="F17" s="15" t="s">
        <v>916</v>
      </c>
      <c r="G17" s="15" t="s">
        <v>71</v>
      </c>
      <c r="H17" s="15"/>
      <c r="I17" s="15" t="s">
        <v>859</v>
      </c>
      <c r="J17" s="15"/>
      <c r="K17" s="15" t="s">
        <v>72</v>
      </c>
      <c r="L17" s="15"/>
      <c r="M17" s="15"/>
      <c r="N17" s="15" t="s">
        <v>917</v>
      </c>
    </row>
    <row r="18" customFormat="false" ht="15" hidden="false" customHeight="true" outlineLevel="0" collapsed="false">
      <c r="A18" s="15" t="n">
        <v>1</v>
      </c>
      <c r="B18" s="15" t="s">
        <v>78</v>
      </c>
      <c r="C18" s="15" t="s">
        <v>918</v>
      </c>
      <c r="D18" s="15" t="s">
        <v>919</v>
      </c>
      <c r="E18" s="15" t="s">
        <v>498</v>
      </c>
      <c r="F18" s="15" t="s">
        <v>920</v>
      </c>
      <c r="G18" s="15" t="s">
        <v>71</v>
      </c>
      <c r="H18" s="15"/>
      <c r="I18" s="15" t="s">
        <v>859</v>
      </c>
      <c r="J18" s="15"/>
      <c r="K18" s="15" t="s">
        <v>72</v>
      </c>
      <c r="L18" s="15"/>
      <c r="M18" s="15"/>
      <c r="N18" s="15" t="s">
        <v>921</v>
      </c>
    </row>
    <row r="19" customFormat="false" ht="15" hidden="false" customHeight="true" outlineLevel="0" collapsed="false">
      <c r="A19" s="15" t="n">
        <v>1</v>
      </c>
      <c r="B19" s="15" t="s">
        <v>78</v>
      </c>
      <c r="C19" s="15" t="s">
        <v>922</v>
      </c>
      <c r="D19" s="15" t="s">
        <v>923</v>
      </c>
      <c r="E19" s="15" t="s">
        <v>166</v>
      </c>
      <c r="F19" s="15" t="s">
        <v>924</v>
      </c>
      <c r="G19" s="15" t="s">
        <v>71</v>
      </c>
      <c r="H19" s="15"/>
      <c r="I19" s="15" t="s">
        <v>859</v>
      </c>
      <c r="J19" s="15"/>
      <c r="K19" s="15" t="s">
        <v>72</v>
      </c>
      <c r="L19" s="15"/>
      <c r="M19" s="15"/>
      <c r="N19" s="15" t="s">
        <v>925</v>
      </c>
    </row>
    <row r="20" customFormat="false" ht="15" hidden="false" customHeight="true" outlineLevel="0" collapsed="false">
      <c r="A20" s="15" t="n">
        <v>1</v>
      </c>
      <c r="B20" s="15" t="s">
        <v>78</v>
      </c>
      <c r="C20" s="15" t="s">
        <v>926</v>
      </c>
      <c r="D20" s="15" t="s">
        <v>927</v>
      </c>
      <c r="E20" s="15" t="s">
        <v>170</v>
      </c>
      <c r="F20" s="15" t="s">
        <v>928</v>
      </c>
      <c r="G20" s="15" t="s">
        <v>71</v>
      </c>
      <c r="H20" s="15"/>
      <c r="I20" s="15" t="s">
        <v>859</v>
      </c>
      <c r="J20" s="15"/>
      <c r="K20" s="15" t="s">
        <v>72</v>
      </c>
      <c r="L20" s="15"/>
      <c r="M20" s="15"/>
      <c r="N20" s="15" t="s">
        <v>929</v>
      </c>
    </row>
    <row r="21" customFormat="false" ht="15" hidden="false" customHeight="true" outlineLevel="0" collapsed="false">
      <c r="A21" s="15" t="n">
        <v>1</v>
      </c>
      <c r="B21" s="15" t="s">
        <v>78</v>
      </c>
      <c r="C21" s="15" t="s">
        <v>930</v>
      </c>
      <c r="D21" s="15" t="s">
        <v>931</v>
      </c>
      <c r="E21" s="15" t="s">
        <v>932</v>
      </c>
      <c r="F21" s="15" t="s">
        <v>933</v>
      </c>
      <c r="G21" s="15" t="s">
        <v>71</v>
      </c>
      <c r="H21" s="15"/>
      <c r="I21" s="15" t="s">
        <v>859</v>
      </c>
      <c r="J21" s="15"/>
      <c r="K21" s="15" t="s">
        <v>72</v>
      </c>
      <c r="L21" s="15"/>
      <c r="M21" s="15"/>
      <c r="N21" s="15" t="s">
        <v>934</v>
      </c>
    </row>
    <row r="22" customFormat="false" ht="15" hidden="false" customHeight="true" outlineLevel="0" collapsed="false">
      <c r="A22" s="15" t="n">
        <v>1</v>
      </c>
      <c r="B22" s="15" t="s">
        <v>78</v>
      </c>
      <c r="C22" s="15" t="s">
        <v>935</v>
      </c>
      <c r="D22" s="15" t="s">
        <v>936</v>
      </c>
      <c r="E22" s="15" t="s">
        <v>937</v>
      </c>
      <c r="F22" s="15" t="s">
        <v>938</v>
      </c>
      <c r="G22" s="15" t="s">
        <v>71</v>
      </c>
      <c r="H22" s="15"/>
      <c r="I22" s="15" t="s">
        <v>859</v>
      </c>
      <c r="J22" s="15"/>
      <c r="K22" s="15" t="s">
        <v>72</v>
      </c>
      <c r="L22" s="15"/>
      <c r="M22" s="15"/>
      <c r="N22" s="15" t="s">
        <v>939</v>
      </c>
    </row>
    <row r="23" customFormat="false" ht="15" hidden="false" customHeight="true" outlineLevel="0" collapsed="false">
      <c r="A23" s="15" t="n">
        <v>1</v>
      </c>
      <c r="B23" s="15" t="s">
        <v>78</v>
      </c>
      <c r="C23" s="15" t="s">
        <v>940</v>
      </c>
      <c r="D23" s="15" t="s">
        <v>941</v>
      </c>
      <c r="E23" s="15" t="s">
        <v>942</v>
      </c>
      <c r="F23" s="15" t="s">
        <v>943</v>
      </c>
      <c r="G23" s="15" t="s">
        <v>71</v>
      </c>
      <c r="H23" s="15"/>
      <c r="I23" s="15" t="s">
        <v>859</v>
      </c>
      <c r="J23" s="15"/>
      <c r="K23" s="15" t="s">
        <v>72</v>
      </c>
      <c r="L23" s="15"/>
      <c r="M23" s="15"/>
      <c r="N23" s="15" t="s">
        <v>944</v>
      </c>
    </row>
    <row r="24" customFormat="false" ht="15" hidden="false" customHeight="true" outlineLevel="0" collapsed="false">
      <c r="A24" s="15" t="n">
        <v>1</v>
      </c>
      <c r="B24" s="15" t="s">
        <v>78</v>
      </c>
      <c r="C24" s="15" t="s">
        <v>945</v>
      </c>
      <c r="D24" s="15" t="s">
        <v>946</v>
      </c>
      <c r="E24" s="15" t="s">
        <v>942</v>
      </c>
      <c r="F24" s="15" t="s">
        <v>947</v>
      </c>
      <c r="G24" s="15" t="s">
        <v>71</v>
      </c>
      <c r="H24" s="15"/>
      <c r="I24" s="15" t="s">
        <v>859</v>
      </c>
      <c r="J24" s="15"/>
      <c r="K24" s="15" t="s">
        <v>72</v>
      </c>
      <c r="L24" s="15"/>
      <c r="M24" s="15"/>
      <c r="N24" s="15" t="s">
        <v>948</v>
      </c>
    </row>
    <row r="25" customFormat="false" ht="15" hidden="false" customHeight="true" outlineLevel="0" collapsed="false">
      <c r="A25" s="15" t="n">
        <v>1</v>
      </c>
      <c r="B25" s="15" t="s">
        <v>78</v>
      </c>
      <c r="C25" s="15" t="s">
        <v>949</v>
      </c>
      <c r="D25" s="15" t="s">
        <v>950</v>
      </c>
      <c r="E25" s="15" t="s">
        <v>179</v>
      </c>
      <c r="F25" s="15" t="s">
        <v>951</v>
      </c>
      <c r="G25" s="15" t="s">
        <v>71</v>
      </c>
      <c r="H25" s="15"/>
      <c r="I25" s="15" t="s">
        <v>859</v>
      </c>
      <c r="J25" s="15"/>
      <c r="K25" s="15" t="s">
        <v>72</v>
      </c>
      <c r="L25" s="15"/>
      <c r="M25" s="15"/>
      <c r="N25" s="15" t="s">
        <v>952</v>
      </c>
    </row>
    <row r="26" customFormat="false" ht="15" hidden="false" customHeight="true" outlineLevel="0" collapsed="false">
      <c r="A26" s="15" t="n">
        <v>1</v>
      </c>
      <c r="B26" s="15" t="s">
        <v>78</v>
      </c>
      <c r="C26" s="15" t="s">
        <v>953</v>
      </c>
      <c r="D26" s="15" t="s">
        <v>954</v>
      </c>
      <c r="E26" s="15" t="s">
        <v>179</v>
      </c>
      <c r="F26" s="15" t="s">
        <v>955</v>
      </c>
      <c r="G26" s="15" t="s">
        <v>71</v>
      </c>
      <c r="H26" s="15"/>
      <c r="I26" s="15" t="s">
        <v>859</v>
      </c>
      <c r="J26" s="15"/>
      <c r="K26" s="15" t="s">
        <v>72</v>
      </c>
      <c r="L26" s="15"/>
      <c r="M26" s="15"/>
      <c r="N26" s="15" t="s">
        <v>956</v>
      </c>
    </row>
    <row r="27" customFormat="false" ht="15" hidden="false" customHeight="true" outlineLevel="0" collapsed="false">
      <c r="A27" s="15" t="n">
        <v>1</v>
      </c>
      <c r="B27" s="15" t="s">
        <v>78</v>
      </c>
      <c r="C27" s="15" t="s">
        <v>957</v>
      </c>
      <c r="D27" s="15" t="s">
        <v>936</v>
      </c>
      <c r="E27" s="15" t="s">
        <v>958</v>
      </c>
      <c r="F27" s="15" t="s">
        <v>959</v>
      </c>
      <c r="G27" s="15" t="s">
        <v>71</v>
      </c>
      <c r="H27" s="15"/>
      <c r="I27" s="15" t="s">
        <v>859</v>
      </c>
      <c r="J27" s="15"/>
      <c r="K27" s="15" t="s">
        <v>72</v>
      </c>
      <c r="L27" s="15"/>
      <c r="M27" s="15"/>
      <c r="N27" s="15" t="s">
        <v>960</v>
      </c>
    </row>
    <row r="28" customFormat="false" ht="15" hidden="false" customHeight="true" outlineLevel="0" collapsed="false">
      <c r="A28" s="15" t="n">
        <v>1</v>
      </c>
      <c r="B28" s="15" t="s">
        <v>78</v>
      </c>
      <c r="C28" s="15" t="s">
        <v>961</v>
      </c>
      <c r="D28" s="15" t="s">
        <v>962</v>
      </c>
      <c r="E28" s="15" t="s">
        <v>958</v>
      </c>
      <c r="F28" s="15" t="s">
        <v>963</v>
      </c>
      <c r="G28" s="15" t="s">
        <v>71</v>
      </c>
      <c r="H28" s="15"/>
      <c r="I28" s="15" t="s">
        <v>859</v>
      </c>
      <c r="J28" s="15"/>
      <c r="K28" s="15" t="s">
        <v>72</v>
      </c>
      <c r="L28" s="15"/>
      <c r="M28" s="15"/>
      <c r="N28" s="15" t="s">
        <v>964</v>
      </c>
    </row>
    <row r="29" customFormat="false" ht="15" hidden="false" customHeight="true" outlineLevel="0" collapsed="false">
      <c r="A29" s="15" t="n">
        <v>1</v>
      </c>
      <c r="B29" s="15" t="s">
        <v>78</v>
      </c>
      <c r="C29" s="15" t="s">
        <v>965</v>
      </c>
      <c r="D29" s="15" t="s">
        <v>966</v>
      </c>
      <c r="E29" s="15" t="s">
        <v>967</v>
      </c>
      <c r="F29" s="15" t="s">
        <v>968</v>
      </c>
      <c r="G29" s="15" t="s">
        <v>71</v>
      </c>
      <c r="H29" s="15"/>
      <c r="I29" s="15" t="s">
        <v>859</v>
      </c>
      <c r="J29" s="15"/>
      <c r="K29" s="15" t="s">
        <v>72</v>
      </c>
      <c r="L29" s="15"/>
      <c r="M29" s="15"/>
      <c r="N29" s="15" t="s">
        <v>969</v>
      </c>
    </row>
    <row r="30" customFormat="false" ht="15" hidden="false" customHeight="true" outlineLevel="0" collapsed="false">
      <c r="A30" s="15" t="n">
        <v>1</v>
      </c>
      <c r="B30" s="15" t="s">
        <v>78</v>
      </c>
      <c r="C30" s="15" t="s">
        <v>970</v>
      </c>
      <c r="D30" s="15" t="s">
        <v>971</v>
      </c>
      <c r="E30" s="15" t="s">
        <v>972</v>
      </c>
      <c r="F30" s="15" t="s">
        <v>973</v>
      </c>
      <c r="G30" s="15" t="s">
        <v>71</v>
      </c>
      <c r="H30" s="15"/>
      <c r="I30" s="15" t="s">
        <v>859</v>
      </c>
      <c r="J30" s="15"/>
      <c r="K30" s="15" t="s">
        <v>72</v>
      </c>
      <c r="L30" s="15"/>
      <c r="M30" s="15"/>
      <c r="N30" s="15" t="s">
        <v>974</v>
      </c>
    </row>
    <row r="31" customFormat="false" ht="15" hidden="false" customHeight="true" outlineLevel="0" collapsed="false">
      <c r="A31" s="15" t="n">
        <v>1</v>
      </c>
      <c r="B31" s="15" t="s">
        <v>78</v>
      </c>
      <c r="C31" s="15" t="s">
        <v>975</v>
      </c>
      <c r="D31" s="15" t="s">
        <v>976</v>
      </c>
      <c r="E31" s="15" t="s">
        <v>977</v>
      </c>
      <c r="F31" s="15" t="s">
        <v>978</v>
      </c>
      <c r="G31" s="15" t="s">
        <v>71</v>
      </c>
      <c r="H31" s="15"/>
      <c r="I31" s="15" t="s">
        <v>859</v>
      </c>
      <c r="J31" s="15"/>
      <c r="K31" s="15" t="s">
        <v>72</v>
      </c>
      <c r="L31" s="15"/>
      <c r="M31" s="15"/>
      <c r="N31" s="15" t="s">
        <v>979</v>
      </c>
    </row>
    <row r="32" customFormat="false" ht="15" hidden="false" customHeight="true" outlineLevel="0" collapsed="false">
      <c r="A32" s="15" t="n">
        <v>1</v>
      </c>
      <c r="B32" s="15" t="s">
        <v>78</v>
      </c>
      <c r="C32" s="15" t="s">
        <v>980</v>
      </c>
      <c r="D32" s="15" t="s">
        <v>981</v>
      </c>
      <c r="E32" s="15" t="s">
        <v>977</v>
      </c>
      <c r="F32" s="15" t="s">
        <v>982</v>
      </c>
      <c r="G32" s="15" t="s">
        <v>71</v>
      </c>
      <c r="H32" s="15"/>
      <c r="I32" s="15" t="s">
        <v>859</v>
      </c>
      <c r="J32" s="15"/>
      <c r="K32" s="15" t="s">
        <v>72</v>
      </c>
      <c r="L32" s="15"/>
      <c r="M32" s="15"/>
      <c r="N32" s="15" t="s">
        <v>983</v>
      </c>
    </row>
    <row r="33" customFormat="false" ht="15" hidden="false" customHeight="true" outlineLevel="0" collapsed="false">
      <c r="A33" s="15" t="n">
        <v>1</v>
      </c>
      <c r="B33" s="15" t="s">
        <v>78</v>
      </c>
      <c r="C33" s="15" t="s">
        <v>984</v>
      </c>
      <c r="D33" s="15" t="s">
        <v>985</v>
      </c>
      <c r="E33" s="15" t="s">
        <v>986</v>
      </c>
      <c r="F33" s="15" t="s">
        <v>987</v>
      </c>
      <c r="G33" s="15" t="s">
        <v>71</v>
      </c>
      <c r="H33" s="15"/>
      <c r="I33" s="15" t="s">
        <v>859</v>
      </c>
      <c r="J33" s="15"/>
      <c r="K33" s="15" t="s">
        <v>72</v>
      </c>
      <c r="L33" s="15"/>
      <c r="M33" s="15"/>
      <c r="N33" s="15" t="s">
        <v>988</v>
      </c>
    </row>
    <row r="34" customFormat="false" ht="15" hidden="false" customHeight="true" outlineLevel="0" collapsed="false">
      <c r="A34" s="15" t="n">
        <v>1</v>
      </c>
      <c r="B34" s="15" t="s">
        <v>78</v>
      </c>
      <c r="C34" s="15" t="s">
        <v>989</v>
      </c>
      <c r="D34" s="15" t="s">
        <v>990</v>
      </c>
      <c r="E34" s="15" t="s">
        <v>991</v>
      </c>
      <c r="F34" s="15" t="s">
        <v>992</v>
      </c>
      <c r="G34" s="15" t="s">
        <v>71</v>
      </c>
      <c r="H34" s="15"/>
      <c r="I34" s="15" t="s">
        <v>859</v>
      </c>
      <c r="J34" s="15"/>
      <c r="K34" s="15" t="s">
        <v>72</v>
      </c>
      <c r="L34" s="15"/>
      <c r="M34" s="15"/>
      <c r="N34" s="15" t="s">
        <v>993</v>
      </c>
    </row>
    <row r="35" customFormat="false" ht="15" hidden="false" customHeight="true" outlineLevel="0" collapsed="false">
      <c r="A35" s="15" t="n">
        <v>1</v>
      </c>
      <c r="B35" s="15" t="s">
        <v>78</v>
      </c>
      <c r="C35" s="15" t="s">
        <v>994</v>
      </c>
      <c r="D35" s="15" t="s">
        <v>995</v>
      </c>
      <c r="E35" s="15" t="s">
        <v>200</v>
      </c>
      <c r="F35" s="15" t="s">
        <v>996</v>
      </c>
      <c r="G35" s="15" t="s">
        <v>71</v>
      </c>
      <c r="H35" s="15"/>
      <c r="I35" s="15" t="s">
        <v>859</v>
      </c>
      <c r="J35" s="15"/>
      <c r="K35" s="15" t="s">
        <v>72</v>
      </c>
      <c r="L35" s="15"/>
      <c r="M35" s="15"/>
      <c r="N35" s="15" t="s">
        <v>997</v>
      </c>
    </row>
    <row r="36" customFormat="false" ht="15" hidden="false" customHeight="true" outlineLevel="0" collapsed="false">
      <c r="A36" s="15" t="n">
        <v>1</v>
      </c>
      <c r="B36" s="15" t="s">
        <v>78</v>
      </c>
      <c r="C36" s="15" t="s">
        <v>998</v>
      </c>
      <c r="D36" s="15" t="s">
        <v>950</v>
      </c>
      <c r="E36" s="15" t="s">
        <v>200</v>
      </c>
      <c r="F36" s="15" t="s">
        <v>999</v>
      </c>
      <c r="G36" s="15" t="s">
        <v>71</v>
      </c>
      <c r="H36" s="15"/>
      <c r="I36" s="15" t="s">
        <v>859</v>
      </c>
      <c r="J36" s="15"/>
      <c r="K36" s="15" t="s">
        <v>72</v>
      </c>
      <c r="L36" s="15"/>
      <c r="M36" s="15"/>
      <c r="N36" s="15" t="s">
        <v>1000</v>
      </c>
    </row>
    <row r="37" customFormat="false" ht="15" hidden="false" customHeight="true" outlineLevel="0" collapsed="false">
      <c r="A37" s="15" t="n">
        <v>1</v>
      </c>
      <c r="B37" s="15" t="s">
        <v>78</v>
      </c>
      <c r="C37" s="15" t="s">
        <v>1001</v>
      </c>
      <c r="D37" s="15" t="s">
        <v>1002</v>
      </c>
      <c r="E37" s="15" t="s">
        <v>215</v>
      </c>
      <c r="F37" s="15" t="s">
        <v>1003</v>
      </c>
      <c r="G37" s="15" t="s">
        <v>71</v>
      </c>
      <c r="H37" s="15"/>
      <c r="I37" s="15" t="s">
        <v>859</v>
      </c>
      <c r="J37" s="15"/>
      <c r="K37" s="15" t="s">
        <v>72</v>
      </c>
      <c r="L37" s="15"/>
      <c r="M37" s="15"/>
      <c r="N37" s="15" t="s">
        <v>1004</v>
      </c>
    </row>
    <row r="38" customFormat="false" ht="15" hidden="false" customHeight="true" outlineLevel="0" collapsed="false">
      <c r="A38" s="15" t="n">
        <v>1</v>
      </c>
      <c r="B38" s="15" t="s">
        <v>78</v>
      </c>
      <c r="C38" s="15" t="s">
        <v>1005</v>
      </c>
      <c r="D38" s="15" t="s">
        <v>1006</v>
      </c>
      <c r="E38" s="15" t="s">
        <v>236</v>
      </c>
      <c r="F38" s="15" t="s">
        <v>1007</v>
      </c>
      <c r="G38" s="15" t="s">
        <v>71</v>
      </c>
      <c r="H38" s="15"/>
      <c r="I38" s="15" t="s">
        <v>859</v>
      </c>
      <c r="J38" s="15"/>
      <c r="K38" s="15" t="s">
        <v>72</v>
      </c>
      <c r="L38" s="15"/>
      <c r="M38" s="15"/>
      <c r="N38" s="15" t="s">
        <v>1008</v>
      </c>
    </row>
    <row r="39" customFormat="false" ht="15" hidden="false" customHeight="true" outlineLevel="0" collapsed="false">
      <c r="A39" s="15" t="n">
        <v>1</v>
      </c>
      <c r="B39" s="15" t="s">
        <v>78</v>
      </c>
      <c r="C39" s="15" t="s">
        <v>1009</v>
      </c>
      <c r="D39" s="15" t="s">
        <v>941</v>
      </c>
      <c r="E39" s="15" t="s">
        <v>1010</v>
      </c>
      <c r="F39" s="15" t="s">
        <v>1011</v>
      </c>
      <c r="G39" s="15" t="s">
        <v>71</v>
      </c>
      <c r="H39" s="15"/>
      <c r="I39" s="15" t="s">
        <v>859</v>
      </c>
      <c r="J39" s="15"/>
      <c r="K39" s="15" t="s">
        <v>72</v>
      </c>
      <c r="L39" s="15"/>
      <c r="M39" s="15"/>
      <c r="N39" s="15" t="s">
        <v>1012</v>
      </c>
    </row>
    <row r="40" customFormat="false" ht="15" hidden="false" customHeight="true" outlineLevel="0" collapsed="false">
      <c r="A40" s="15" t="n">
        <v>1</v>
      </c>
      <c r="B40" s="15" t="s">
        <v>78</v>
      </c>
      <c r="C40" s="15" t="s">
        <v>1013</v>
      </c>
      <c r="D40" s="15" t="s">
        <v>1014</v>
      </c>
      <c r="E40" s="15" t="s">
        <v>1015</v>
      </c>
      <c r="F40" s="15" t="s">
        <v>1016</v>
      </c>
      <c r="G40" s="15" t="s">
        <v>71</v>
      </c>
      <c r="H40" s="15"/>
      <c r="I40" s="15" t="s">
        <v>859</v>
      </c>
      <c r="J40" s="15"/>
      <c r="K40" s="15" t="s">
        <v>72</v>
      </c>
      <c r="L40" s="15"/>
      <c r="M40" s="15"/>
      <c r="N40" s="15" t="s">
        <v>1017</v>
      </c>
    </row>
    <row r="41" customFormat="false" ht="15" hidden="false" customHeight="true" outlineLevel="0" collapsed="false">
      <c r="A41" s="15" t="n">
        <v>1</v>
      </c>
      <c r="B41" s="15" t="s">
        <v>78</v>
      </c>
      <c r="C41" s="15" t="s">
        <v>1018</v>
      </c>
      <c r="D41" s="15" t="s">
        <v>1019</v>
      </c>
      <c r="E41" s="15" t="s">
        <v>1020</v>
      </c>
      <c r="F41" s="15" t="s">
        <v>1021</v>
      </c>
      <c r="G41" s="15" t="s">
        <v>71</v>
      </c>
      <c r="H41" s="15"/>
      <c r="I41" s="15" t="s">
        <v>859</v>
      </c>
      <c r="J41" s="15"/>
      <c r="K41" s="15" t="s">
        <v>72</v>
      </c>
      <c r="L41" s="15"/>
      <c r="M41" s="15"/>
      <c r="N41" s="15" t="s">
        <v>1022</v>
      </c>
    </row>
    <row r="42" customFormat="false" ht="15" hidden="false" customHeight="true" outlineLevel="0" collapsed="false">
      <c r="A42" s="15" t="n">
        <v>1</v>
      </c>
      <c r="B42" s="15" t="s">
        <v>78</v>
      </c>
      <c r="C42" s="15" t="s">
        <v>1023</v>
      </c>
      <c r="D42" s="15" t="s">
        <v>1024</v>
      </c>
      <c r="E42" s="15" t="s">
        <v>1025</v>
      </c>
      <c r="F42" s="15" t="s">
        <v>1026</v>
      </c>
      <c r="G42" s="15" t="s">
        <v>71</v>
      </c>
      <c r="H42" s="15"/>
      <c r="I42" s="15" t="s">
        <v>859</v>
      </c>
      <c r="J42" s="15"/>
      <c r="K42" s="15" t="s">
        <v>72</v>
      </c>
      <c r="L42" s="15"/>
      <c r="M42" s="15"/>
      <c r="N42" s="15" t="s">
        <v>1027</v>
      </c>
    </row>
    <row r="43" customFormat="false" ht="15" hidden="false" customHeight="true" outlineLevel="0" collapsed="false">
      <c r="A43" s="15" t="n">
        <v>1</v>
      </c>
      <c r="B43" s="15" t="s">
        <v>78</v>
      </c>
      <c r="C43" s="15" t="s">
        <v>1028</v>
      </c>
      <c r="D43" s="15" t="s">
        <v>1029</v>
      </c>
      <c r="E43" s="15" t="s">
        <v>1025</v>
      </c>
      <c r="F43" s="15" t="s">
        <v>1030</v>
      </c>
      <c r="G43" s="15" t="s">
        <v>71</v>
      </c>
      <c r="H43" s="15"/>
      <c r="I43" s="15" t="s">
        <v>859</v>
      </c>
      <c r="J43" s="15"/>
      <c r="K43" s="15" t="s">
        <v>72</v>
      </c>
      <c r="L43" s="15"/>
      <c r="M43" s="15"/>
      <c r="N43" s="15" t="s">
        <v>1031</v>
      </c>
    </row>
    <row r="44" customFormat="false" ht="15" hidden="false" customHeight="true" outlineLevel="0" collapsed="false">
      <c r="A44" s="15" t="n">
        <v>1</v>
      </c>
      <c r="B44" s="15" t="s">
        <v>78</v>
      </c>
      <c r="C44" s="15" t="s">
        <v>1032</v>
      </c>
      <c r="D44" s="15" t="s">
        <v>1033</v>
      </c>
      <c r="E44" s="15" t="s">
        <v>866</v>
      </c>
      <c r="F44" s="15" t="s">
        <v>1034</v>
      </c>
      <c r="G44" s="15" t="s">
        <v>71</v>
      </c>
      <c r="H44" s="15"/>
      <c r="I44" s="15" t="s">
        <v>859</v>
      </c>
      <c r="J44" s="15"/>
      <c r="K44" s="15" t="s">
        <v>72</v>
      </c>
      <c r="L44" s="15"/>
      <c r="M44" s="15"/>
      <c r="N44" s="15" t="s">
        <v>1035</v>
      </c>
    </row>
    <row r="45" customFormat="false" ht="15" hidden="false" customHeight="true" outlineLevel="0" collapsed="false">
      <c r="A45" s="15" t="n">
        <v>1</v>
      </c>
      <c r="B45" s="15" t="s">
        <v>78</v>
      </c>
      <c r="C45" s="15" t="s">
        <v>1036</v>
      </c>
      <c r="D45" s="15" t="s">
        <v>1037</v>
      </c>
      <c r="E45" s="15" t="s">
        <v>1038</v>
      </c>
      <c r="F45" s="15" t="s">
        <v>1039</v>
      </c>
      <c r="G45" s="15" t="s">
        <v>71</v>
      </c>
      <c r="H45" s="15"/>
      <c r="I45" s="15" t="s">
        <v>859</v>
      </c>
      <c r="J45" s="15"/>
      <c r="K45" s="15" t="s">
        <v>72</v>
      </c>
      <c r="L45" s="15"/>
      <c r="M45" s="15"/>
      <c r="N45" s="15" t="s">
        <v>1040</v>
      </c>
    </row>
    <row r="46" customFormat="false" ht="15" hidden="false" customHeight="true" outlineLevel="0" collapsed="false">
      <c r="A46" s="15" t="n">
        <v>1</v>
      </c>
      <c r="B46" s="15" t="s">
        <v>78</v>
      </c>
      <c r="C46" s="15" t="s">
        <v>1041</v>
      </c>
      <c r="D46" s="15" t="s">
        <v>1042</v>
      </c>
      <c r="E46" s="15" t="s">
        <v>1038</v>
      </c>
      <c r="F46" s="15" t="s">
        <v>1043</v>
      </c>
      <c r="G46" s="15" t="s">
        <v>71</v>
      </c>
      <c r="H46" s="15"/>
      <c r="I46" s="15" t="s">
        <v>859</v>
      </c>
      <c r="J46" s="15"/>
      <c r="K46" s="15" t="s">
        <v>72</v>
      </c>
      <c r="L46" s="15"/>
      <c r="M46" s="15"/>
      <c r="N46" s="15" t="s">
        <v>1044</v>
      </c>
    </row>
    <row r="47" customFormat="false" ht="15" hidden="false" customHeight="true" outlineLevel="0" collapsed="false">
      <c r="A47" s="15" t="n">
        <v>1</v>
      </c>
      <c r="B47" s="15" t="s">
        <v>78</v>
      </c>
      <c r="C47" s="15" t="s">
        <v>1045</v>
      </c>
      <c r="D47" s="15" t="s">
        <v>1046</v>
      </c>
      <c r="E47" s="15" t="s">
        <v>691</v>
      </c>
      <c r="F47" s="15" t="s">
        <v>1047</v>
      </c>
      <c r="G47" s="15" t="s">
        <v>71</v>
      </c>
      <c r="H47" s="15"/>
      <c r="I47" s="15" t="s">
        <v>859</v>
      </c>
      <c r="J47" s="15"/>
      <c r="K47" s="15" t="s">
        <v>72</v>
      </c>
      <c r="L47" s="15"/>
      <c r="M47" s="15"/>
      <c r="N47" s="15" t="s">
        <v>1048</v>
      </c>
    </row>
    <row r="48" customFormat="false" ht="15" hidden="false" customHeight="true" outlineLevel="0" collapsed="false">
      <c r="A48" s="15" t="n">
        <v>1</v>
      </c>
      <c r="B48" s="15" t="s">
        <v>78</v>
      </c>
      <c r="C48" s="15" t="s">
        <v>1049</v>
      </c>
      <c r="D48" s="15" t="s">
        <v>1050</v>
      </c>
      <c r="E48" s="15" t="s">
        <v>1051</v>
      </c>
      <c r="F48" s="15" t="s">
        <v>1052</v>
      </c>
      <c r="G48" s="15" t="s">
        <v>71</v>
      </c>
      <c r="H48" s="15"/>
      <c r="I48" s="15" t="s">
        <v>859</v>
      </c>
      <c r="J48" s="15"/>
      <c r="K48" s="15" t="s">
        <v>72</v>
      </c>
      <c r="L48" s="15"/>
      <c r="M48" s="15"/>
      <c r="N48" s="15" t="s">
        <v>1053</v>
      </c>
    </row>
    <row r="49" customFormat="false" ht="15" hidden="false" customHeight="true" outlineLevel="0" collapsed="false">
      <c r="A49" s="15" t="n">
        <v>1</v>
      </c>
      <c r="B49" s="15" t="s">
        <v>78</v>
      </c>
      <c r="C49" s="15" t="s">
        <v>1054</v>
      </c>
      <c r="D49" s="15" t="s">
        <v>1055</v>
      </c>
      <c r="E49" s="15" t="s">
        <v>326</v>
      </c>
      <c r="F49" s="15" t="s">
        <v>1056</v>
      </c>
      <c r="G49" s="15" t="s">
        <v>71</v>
      </c>
      <c r="H49" s="15"/>
      <c r="I49" s="15" t="s">
        <v>859</v>
      </c>
      <c r="J49" s="15"/>
      <c r="K49" s="15" t="s">
        <v>72</v>
      </c>
      <c r="L49" s="15"/>
      <c r="M49" s="15"/>
      <c r="N49" s="15" t="s">
        <v>1057</v>
      </c>
    </row>
    <row r="50" customFormat="false" ht="15" hidden="false" customHeight="true" outlineLevel="0" collapsed="false">
      <c r="A50" s="15" t="n">
        <v>1</v>
      </c>
      <c r="B50" s="15" t="s">
        <v>78</v>
      </c>
      <c r="C50" s="15" t="s">
        <v>1058</v>
      </c>
      <c r="D50" s="15" t="s">
        <v>1059</v>
      </c>
      <c r="E50" s="15" t="s">
        <v>1060</v>
      </c>
      <c r="F50" s="15" t="s">
        <v>1061</v>
      </c>
      <c r="G50" s="15" t="s">
        <v>71</v>
      </c>
      <c r="H50" s="15"/>
      <c r="I50" s="15" t="s">
        <v>859</v>
      </c>
      <c r="J50" s="15"/>
      <c r="K50" s="15" t="s">
        <v>72</v>
      </c>
      <c r="L50" s="15"/>
      <c r="M50" s="15"/>
      <c r="N50" s="15" t="s">
        <v>1062</v>
      </c>
    </row>
    <row r="51" customFormat="false" ht="15" hidden="false" customHeight="true" outlineLevel="0" collapsed="false">
      <c r="A51" s="15" t="n">
        <v>1</v>
      </c>
      <c r="B51" s="15" t="s">
        <v>78</v>
      </c>
      <c r="C51" s="15" t="s">
        <v>1063</v>
      </c>
      <c r="D51" s="15" t="s">
        <v>1064</v>
      </c>
      <c r="E51" s="15" t="s">
        <v>1065</v>
      </c>
      <c r="F51" s="15" t="s">
        <v>1066</v>
      </c>
      <c r="G51" s="15" t="s">
        <v>71</v>
      </c>
      <c r="H51" s="15"/>
      <c r="I51" s="15" t="s">
        <v>859</v>
      </c>
      <c r="J51" s="15"/>
      <c r="K51" s="15" t="s">
        <v>72</v>
      </c>
      <c r="L51" s="15"/>
      <c r="M51" s="15"/>
      <c r="N51" s="15" t="s">
        <v>1067</v>
      </c>
    </row>
    <row r="52" customFormat="false" ht="15" hidden="false" customHeight="true" outlineLevel="0" collapsed="false">
      <c r="A52" s="15" t="n">
        <v>1</v>
      </c>
      <c r="B52" s="15" t="s">
        <v>78</v>
      </c>
      <c r="C52" s="15" t="s">
        <v>887</v>
      </c>
      <c r="D52" s="15" t="s">
        <v>888</v>
      </c>
      <c r="E52" s="15" t="s">
        <v>889</v>
      </c>
      <c r="F52" s="15" t="s">
        <v>890</v>
      </c>
      <c r="G52" s="15" t="s">
        <v>71</v>
      </c>
      <c r="H52" s="15"/>
      <c r="I52" s="15" t="s">
        <v>859</v>
      </c>
      <c r="J52" s="15"/>
      <c r="K52" s="15" t="s">
        <v>72</v>
      </c>
      <c r="L52" s="15"/>
      <c r="M52" s="15"/>
      <c r="N52" s="15" t="s">
        <v>1068</v>
      </c>
    </row>
    <row r="53" customFormat="false" ht="15" hidden="false" customHeight="true" outlineLevel="0" collapsed="false">
      <c r="A53" s="15" t="n">
        <v>1</v>
      </c>
      <c r="B53" s="15" t="s">
        <v>78</v>
      </c>
      <c r="C53" s="15" t="s">
        <v>1069</v>
      </c>
      <c r="D53" s="15" t="s">
        <v>1064</v>
      </c>
      <c r="E53" s="15" t="s">
        <v>894</v>
      </c>
      <c r="F53" s="15" t="s">
        <v>1070</v>
      </c>
      <c r="G53" s="15" t="s">
        <v>71</v>
      </c>
      <c r="H53" s="15"/>
      <c r="I53" s="15" t="s">
        <v>859</v>
      </c>
      <c r="J53" s="15"/>
      <c r="K53" s="15" t="s">
        <v>72</v>
      </c>
      <c r="L53" s="15"/>
      <c r="M53" s="15"/>
      <c r="N53" s="15" t="s">
        <v>1071</v>
      </c>
    </row>
    <row r="54" customFormat="false" ht="15" hidden="false" customHeight="true" outlineLevel="0" collapsed="false">
      <c r="A54" s="15" t="n">
        <v>1</v>
      </c>
      <c r="B54" s="15" t="s">
        <v>78</v>
      </c>
      <c r="C54" s="15" t="s">
        <v>1072</v>
      </c>
      <c r="D54" s="15" t="s">
        <v>1073</v>
      </c>
      <c r="E54" s="15" t="s">
        <v>932</v>
      </c>
      <c r="F54" s="15" t="s">
        <v>1074</v>
      </c>
      <c r="G54" s="15" t="s">
        <v>71</v>
      </c>
      <c r="H54" s="15"/>
      <c r="I54" s="15" t="s">
        <v>859</v>
      </c>
      <c r="J54" s="15"/>
      <c r="K54" s="15" t="s">
        <v>72</v>
      </c>
      <c r="L54" s="15"/>
      <c r="M54" s="15"/>
      <c r="N54" s="15" t="s">
        <v>1075</v>
      </c>
    </row>
    <row r="55" customFormat="false" ht="15" hidden="false" customHeight="true" outlineLevel="0" collapsed="false">
      <c r="A55" s="15" t="n">
        <v>1</v>
      </c>
      <c r="B55" s="15" t="s">
        <v>78</v>
      </c>
      <c r="C55" s="15" t="s">
        <v>1076</v>
      </c>
      <c r="D55" s="15" t="s">
        <v>1073</v>
      </c>
      <c r="E55" s="15" t="s">
        <v>1077</v>
      </c>
      <c r="F55" s="15" t="s">
        <v>1078</v>
      </c>
      <c r="G55" s="15" t="s">
        <v>71</v>
      </c>
      <c r="H55" s="15"/>
      <c r="I55" s="15" t="s">
        <v>859</v>
      </c>
      <c r="J55" s="15"/>
      <c r="K55" s="15" t="s">
        <v>72</v>
      </c>
      <c r="L55" s="15"/>
      <c r="M55" s="15"/>
      <c r="N55" s="15" t="s">
        <v>1079</v>
      </c>
    </row>
    <row r="56" customFormat="false" ht="15" hidden="false" customHeight="true" outlineLevel="0" collapsed="false">
      <c r="A56" s="15" t="n">
        <v>1</v>
      </c>
      <c r="B56" s="15" t="s">
        <v>78</v>
      </c>
      <c r="C56" s="15" t="s">
        <v>1080</v>
      </c>
      <c r="D56" s="15" t="s">
        <v>1081</v>
      </c>
      <c r="E56" s="15" t="s">
        <v>1082</v>
      </c>
      <c r="F56" s="15" t="s">
        <v>1083</v>
      </c>
      <c r="G56" s="15" t="s">
        <v>71</v>
      </c>
      <c r="H56" s="15"/>
      <c r="I56" s="15" t="s">
        <v>859</v>
      </c>
      <c r="J56" s="15"/>
      <c r="K56" s="15" t="s">
        <v>72</v>
      </c>
      <c r="L56" s="15"/>
      <c r="M56" s="15"/>
      <c r="N56" s="15" t="s">
        <v>1084</v>
      </c>
    </row>
    <row r="57" customFormat="false" ht="15" hidden="false" customHeight="true" outlineLevel="0" collapsed="false">
      <c r="A57" s="15" t="n">
        <v>1</v>
      </c>
      <c r="B57" s="15" t="s">
        <v>78</v>
      </c>
      <c r="C57" s="15" t="s">
        <v>1085</v>
      </c>
      <c r="D57" s="15" t="s">
        <v>1086</v>
      </c>
      <c r="E57" s="15" t="s">
        <v>674</v>
      </c>
      <c r="F57" s="15" t="s">
        <v>1087</v>
      </c>
      <c r="G57" s="15" t="s">
        <v>71</v>
      </c>
      <c r="H57" s="15"/>
      <c r="I57" s="15" t="s">
        <v>859</v>
      </c>
      <c r="J57" s="15"/>
      <c r="K57" s="15" t="s">
        <v>72</v>
      </c>
      <c r="L57" s="15"/>
      <c r="M57" s="15"/>
      <c r="N57" s="15" t="s">
        <v>1088</v>
      </c>
    </row>
    <row r="58" customFormat="false" ht="15" hidden="false" customHeight="true" outlineLevel="0" collapsed="false">
      <c r="A58" s="15" t="n">
        <v>1</v>
      </c>
      <c r="B58" s="15" t="s">
        <v>78</v>
      </c>
      <c r="C58" s="15" t="s">
        <v>1089</v>
      </c>
      <c r="D58" s="15" t="s">
        <v>1090</v>
      </c>
      <c r="E58" s="15" t="s">
        <v>942</v>
      </c>
      <c r="F58" s="15" t="s">
        <v>1091</v>
      </c>
      <c r="G58" s="15" t="s">
        <v>71</v>
      </c>
      <c r="H58" s="15"/>
      <c r="I58" s="15" t="s">
        <v>859</v>
      </c>
      <c r="J58" s="15"/>
      <c r="K58" s="15" t="s">
        <v>72</v>
      </c>
      <c r="L58" s="15"/>
      <c r="M58" s="15"/>
      <c r="N58" s="15" t="s">
        <v>1092</v>
      </c>
    </row>
    <row r="59" customFormat="false" ht="15" hidden="false" customHeight="true" outlineLevel="0" collapsed="false">
      <c r="A59" s="15" t="n">
        <v>1</v>
      </c>
      <c r="B59" s="15" t="s">
        <v>78</v>
      </c>
      <c r="C59" s="15" t="s">
        <v>1093</v>
      </c>
      <c r="D59" s="15" t="s">
        <v>1081</v>
      </c>
      <c r="E59" s="15" t="s">
        <v>1094</v>
      </c>
      <c r="F59" s="15" t="s">
        <v>1095</v>
      </c>
      <c r="G59" s="15" t="s">
        <v>71</v>
      </c>
      <c r="H59" s="15"/>
      <c r="I59" s="15" t="s">
        <v>859</v>
      </c>
      <c r="J59" s="15"/>
      <c r="K59" s="15" t="s">
        <v>72</v>
      </c>
      <c r="L59" s="15"/>
      <c r="M59" s="15"/>
      <c r="N59" s="15" t="s">
        <v>1096</v>
      </c>
    </row>
    <row r="60" customFormat="false" ht="15" hidden="false" customHeight="true" outlineLevel="0" collapsed="false">
      <c r="A60" s="15" t="n">
        <v>1</v>
      </c>
      <c r="B60" s="15" t="s">
        <v>78</v>
      </c>
      <c r="C60" s="15" t="s">
        <v>1097</v>
      </c>
      <c r="D60" s="15" t="s">
        <v>1098</v>
      </c>
      <c r="E60" s="15" t="s">
        <v>1099</v>
      </c>
      <c r="F60" s="15" t="s">
        <v>1100</v>
      </c>
      <c r="G60" s="15" t="s">
        <v>71</v>
      </c>
      <c r="H60" s="15"/>
      <c r="I60" s="15" t="s">
        <v>859</v>
      </c>
      <c r="J60" s="15"/>
      <c r="K60" s="15" t="s">
        <v>72</v>
      </c>
      <c r="L60" s="15"/>
      <c r="M60" s="15"/>
      <c r="N60" s="15" t="s">
        <v>1101</v>
      </c>
    </row>
    <row r="61" customFormat="false" ht="15" hidden="false" customHeight="true" outlineLevel="0" collapsed="false">
      <c r="A61" s="15" t="n">
        <v>1</v>
      </c>
      <c r="B61" s="15" t="s">
        <v>78</v>
      </c>
      <c r="C61" s="15" t="s">
        <v>1102</v>
      </c>
      <c r="D61" s="15" t="s">
        <v>1103</v>
      </c>
      <c r="E61" s="15" t="s">
        <v>699</v>
      </c>
      <c r="F61" s="15" t="s">
        <v>1104</v>
      </c>
      <c r="G61" s="15" t="s">
        <v>71</v>
      </c>
      <c r="H61" s="15"/>
      <c r="I61" s="15" t="s">
        <v>859</v>
      </c>
      <c r="J61" s="15"/>
      <c r="K61" s="15" t="s">
        <v>72</v>
      </c>
      <c r="L61" s="15"/>
      <c r="M61" s="15"/>
      <c r="N61" s="15" t="s">
        <v>1105</v>
      </c>
    </row>
    <row r="62" customFormat="false" ht="15" hidden="false" customHeight="true" outlineLevel="0" collapsed="false">
      <c r="A62" s="15" t="n">
        <v>1</v>
      </c>
      <c r="B62" s="15" t="s">
        <v>78</v>
      </c>
      <c r="C62" s="15" t="s">
        <v>1106</v>
      </c>
      <c r="D62" s="15" t="s">
        <v>1081</v>
      </c>
      <c r="E62" s="15" t="s">
        <v>1107</v>
      </c>
      <c r="F62" s="15" t="s">
        <v>1108</v>
      </c>
      <c r="G62" s="15" t="s">
        <v>71</v>
      </c>
      <c r="H62" s="15"/>
      <c r="I62" s="15" t="s">
        <v>859</v>
      </c>
      <c r="J62" s="15"/>
      <c r="K62" s="15" t="s">
        <v>72</v>
      </c>
      <c r="L62" s="15"/>
      <c r="M62" s="15"/>
      <c r="N62" s="15" t="s">
        <v>1109</v>
      </c>
    </row>
    <row r="63" customFormat="false" ht="15" hidden="false" customHeight="true" outlineLevel="0" collapsed="false">
      <c r="A63" s="15" t="n">
        <v>1</v>
      </c>
      <c r="B63" s="15" t="s">
        <v>78</v>
      </c>
      <c r="C63" s="15" t="s">
        <v>1110</v>
      </c>
      <c r="D63" s="15" t="s">
        <v>1111</v>
      </c>
      <c r="E63" s="15" t="s">
        <v>1112</v>
      </c>
      <c r="F63" s="15" t="s">
        <v>1113</v>
      </c>
      <c r="G63" s="15" t="s">
        <v>71</v>
      </c>
      <c r="H63" s="15"/>
      <c r="I63" s="15" t="s">
        <v>859</v>
      </c>
      <c r="J63" s="15"/>
      <c r="K63" s="15" t="s">
        <v>72</v>
      </c>
      <c r="L63" s="15"/>
      <c r="M63" s="15"/>
      <c r="N63" s="15" t="s">
        <v>1114</v>
      </c>
    </row>
    <row r="64" customFormat="false" ht="15" hidden="false" customHeight="true" outlineLevel="0" collapsed="false">
      <c r="A64" s="15" t="n">
        <v>2</v>
      </c>
      <c r="B64" s="15" t="s">
        <v>78</v>
      </c>
      <c r="C64" s="15" t="s">
        <v>1115</v>
      </c>
      <c r="D64" s="15" t="s">
        <v>1116</v>
      </c>
      <c r="E64" s="15" t="s">
        <v>1117</v>
      </c>
      <c r="F64" s="15" t="s">
        <v>1118</v>
      </c>
      <c r="G64" s="15" t="s">
        <v>71</v>
      </c>
      <c r="H64" s="15"/>
      <c r="I64" s="15" t="s">
        <v>1119</v>
      </c>
      <c r="J64" s="15"/>
      <c r="K64" s="15" t="s">
        <v>72</v>
      </c>
      <c r="L64" s="15"/>
      <c r="M64" s="15"/>
      <c r="N64" s="15" t="s">
        <v>1120</v>
      </c>
    </row>
    <row r="65" customFormat="false" ht="15" hidden="false" customHeight="true" outlineLevel="0" collapsed="false">
      <c r="A65" s="15" t="n">
        <v>2</v>
      </c>
      <c r="B65" s="15" t="s">
        <v>78</v>
      </c>
      <c r="C65" s="15" t="s">
        <v>1121</v>
      </c>
      <c r="D65" s="15" t="s">
        <v>1122</v>
      </c>
      <c r="E65" s="15" t="s">
        <v>1123</v>
      </c>
      <c r="F65" s="15" t="s">
        <v>1124</v>
      </c>
      <c r="G65" s="15" t="s">
        <v>71</v>
      </c>
      <c r="H65" s="15"/>
      <c r="I65" s="15" t="s">
        <v>1119</v>
      </c>
      <c r="J65" s="15"/>
      <c r="K65" s="15" t="s">
        <v>72</v>
      </c>
      <c r="L65" s="15"/>
      <c r="M65" s="15"/>
      <c r="N65" s="15" t="s">
        <v>1125</v>
      </c>
    </row>
    <row r="66" customFormat="false" ht="15" hidden="false" customHeight="true" outlineLevel="0" collapsed="false">
      <c r="A66" s="15" t="n">
        <v>2</v>
      </c>
      <c r="B66" s="15" t="s">
        <v>78</v>
      </c>
      <c r="C66" s="15" t="s">
        <v>1126</v>
      </c>
      <c r="D66" s="15" t="s">
        <v>1064</v>
      </c>
      <c r="E66" s="15" t="s">
        <v>715</v>
      </c>
      <c r="F66" s="15" t="s">
        <v>1127</v>
      </c>
      <c r="G66" s="15" t="s">
        <v>71</v>
      </c>
      <c r="H66" s="15"/>
      <c r="I66" s="15" t="s">
        <v>1119</v>
      </c>
      <c r="J66" s="15"/>
      <c r="K66" s="15" t="s">
        <v>72</v>
      </c>
      <c r="L66" s="15"/>
      <c r="M66" s="15"/>
      <c r="N66" s="15" t="s">
        <v>1128</v>
      </c>
    </row>
    <row r="67" customFormat="false" ht="15" hidden="false" customHeight="true" outlineLevel="0" collapsed="false">
      <c r="A67" s="15" t="n">
        <v>2</v>
      </c>
      <c r="B67" s="15" t="s">
        <v>78</v>
      </c>
      <c r="C67" s="15" t="s">
        <v>1129</v>
      </c>
      <c r="D67" s="15" t="s">
        <v>1130</v>
      </c>
      <c r="E67" s="15" t="s">
        <v>719</v>
      </c>
      <c r="F67" s="15" t="s">
        <v>1131</v>
      </c>
      <c r="G67" s="15" t="s">
        <v>71</v>
      </c>
      <c r="H67" s="15"/>
      <c r="I67" s="15" t="s">
        <v>1119</v>
      </c>
      <c r="J67" s="15"/>
      <c r="K67" s="15" t="s">
        <v>72</v>
      </c>
      <c r="L67" s="15"/>
      <c r="M67" s="15"/>
      <c r="N67" s="15" t="s">
        <v>1132</v>
      </c>
    </row>
    <row r="68" customFormat="false" ht="15" hidden="false" customHeight="true" outlineLevel="0" collapsed="false">
      <c r="A68" s="15" t="n">
        <v>2</v>
      </c>
      <c r="B68" s="15" t="s">
        <v>78</v>
      </c>
      <c r="C68" s="15" t="s">
        <v>1133</v>
      </c>
      <c r="D68" s="15" t="s">
        <v>1134</v>
      </c>
      <c r="E68" s="15" t="s">
        <v>719</v>
      </c>
      <c r="F68" s="15" t="s">
        <v>1135</v>
      </c>
      <c r="G68" s="15" t="s">
        <v>71</v>
      </c>
      <c r="H68" s="15"/>
      <c r="I68" s="15" t="s">
        <v>1119</v>
      </c>
      <c r="J68" s="15"/>
      <c r="K68" s="15" t="s">
        <v>72</v>
      </c>
      <c r="L68" s="15"/>
      <c r="M68" s="15"/>
      <c r="N68" s="15" t="s">
        <v>1136</v>
      </c>
    </row>
    <row r="69" customFormat="false" ht="15" hidden="false" customHeight="true" outlineLevel="0" collapsed="false">
      <c r="A69" s="15" t="n">
        <v>2</v>
      </c>
      <c r="B69" s="15" t="s">
        <v>78</v>
      </c>
      <c r="C69" s="15" t="s">
        <v>1137</v>
      </c>
      <c r="D69" s="15" t="s">
        <v>1138</v>
      </c>
      <c r="E69" s="15" t="s">
        <v>1139</v>
      </c>
      <c r="F69" s="15" t="s">
        <v>1140</v>
      </c>
      <c r="G69" s="15" t="s">
        <v>71</v>
      </c>
      <c r="H69" s="15"/>
      <c r="I69" s="15" t="s">
        <v>1119</v>
      </c>
      <c r="J69" s="15"/>
      <c r="K69" s="15" t="s">
        <v>72</v>
      </c>
      <c r="L69" s="15"/>
      <c r="M69" s="15"/>
      <c r="N69" s="15" t="s">
        <v>1141</v>
      </c>
    </row>
    <row r="70" customFormat="false" ht="15" hidden="false" customHeight="true" outlineLevel="0" collapsed="false">
      <c r="A70" s="15" t="n">
        <v>2</v>
      </c>
      <c r="B70" s="15" t="s">
        <v>78</v>
      </c>
      <c r="C70" s="15" t="s">
        <v>1142</v>
      </c>
      <c r="D70" s="15" t="s">
        <v>1143</v>
      </c>
      <c r="E70" s="15" t="s">
        <v>286</v>
      </c>
      <c r="F70" s="15" t="s">
        <v>1144</v>
      </c>
      <c r="G70" s="15" t="s">
        <v>71</v>
      </c>
      <c r="H70" s="15"/>
      <c r="I70" s="15" t="s">
        <v>1119</v>
      </c>
      <c r="J70" s="15"/>
      <c r="K70" s="15" t="s">
        <v>72</v>
      </c>
      <c r="L70" s="15"/>
      <c r="M70" s="15"/>
      <c r="N70" s="15" t="s">
        <v>1145</v>
      </c>
    </row>
    <row r="71" customFormat="false" ht="15" hidden="false" customHeight="true" outlineLevel="0" collapsed="false">
      <c r="A71" s="15" t="n">
        <v>2</v>
      </c>
      <c r="B71" s="15" t="s">
        <v>78</v>
      </c>
      <c r="C71" s="15" t="s">
        <v>1146</v>
      </c>
      <c r="D71" s="15" t="s">
        <v>1147</v>
      </c>
      <c r="E71" s="15" t="s">
        <v>286</v>
      </c>
      <c r="F71" s="15" t="s">
        <v>1148</v>
      </c>
      <c r="G71" s="15" t="s">
        <v>71</v>
      </c>
      <c r="H71" s="15"/>
      <c r="I71" s="15" t="s">
        <v>1119</v>
      </c>
      <c r="J71" s="15"/>
      <c r="K71" s="15" t="s">
        <v>72</v>
      </c>
      <c r="L71" s="15"/>
      <c r="M71" s="15"/>
      <c r="N71" s="15" t="s">
        <v>1149</v>
      </c>
    </row>
    <row r="72" customFormat="false" ht="15" hidden="false" customHeight="true" outlineLevel="0" collapsed="false">
      <c r="A72" s="15" t="n">
        <v>2</v>
      </c>
      <c r="B72" s="15" t="s">
        <v>78</v>
      </c>
      <c r="C72" s="15" t="s">
        <v>1150</v>
      </c>
      <c r="D72" s="15" t="s">
        <v>1151</v>
      </c>
      <c r="E72" s="15" t="s">
        <v>260</v>
      </c>
      <c r="F72" s="15" t="s">
        <v>1152</v>
      </c>
      <c r="G72" s="15" t="s">
        <v>71</v>
      </c>
      <c r="H72" s="15"/>
      <c r="I72" s="15" t="s">
        <v>1119</v>
      </c>
      <c r="J72" s="15"/>
      <c r="K72" s="15" t="s">
        <v>72</v>
      </c>
      <c r="L72" s="15"/>
      <c r="M72" s="15"/>
      <c r="N72" s="15" t="s">
        <v>1153</v>
      </c>
    </row>
    <row r="73" customFormat="false" ht="15" hidden="false" customHeight="true" outlineLevel="0" collapsed="false">
      <c r="A73" s="15" t="n">
        <v>2</v>
      </c>
      <c r="B73" s="15" t="s">
        <v>78</v>
      </c>
      <c r="C73" s="15" t="s">
        <v>1154</v>
      </c>
      <c r="D73" s="15" t="s">
        <v>1155</v>
      </c>
      <c r="E73" s="15" t="s">
        <v>267</v>
      </c>
      <c r="F73" s="15" t="s">
        <v>1156</v>
      </c>
      <c r="G73" s="15" t="s">
        <v>71</v>
      </c>
      <c r="H73" s="15"/>
      <c r="I73" s="15" t="s">
        <v>1119</v>
      </c>
      <c r="J73" s="15"/>
      <c r="K73" s="15" t="s">
        <v>72</v>
      </c>
      <c r="L73" s="15"/>
      <c r="M73" s="15"/>
      <c r="N73" s="15" t="s">
        <v>1157</v>
      </c>
    </row>
    <row r="74" customFormat="false" ht="15" hidden="false" customHeight="true" outlineLevel="0" collapsed="false">
      <c r="A74" s="15" t="n">
        <v>2</v>
      </c>
      <c r="B74" s="15" t="s">
        <v>78</v>
      </c>
      <c r="C74" s="15" t="s">
        <v>1158</v>
      </c>
      <c r="D74" s="15" t="s">
        <v>1159</v>
      </c>
      <c r="E74" s="15" t="s">
        <v>270</v>
      </c>
      <c r="F74" s="15" t="s">
        <v>1160</v>
      </c>
      <c r="G74" s="15" t="s">
        <v>71</v>
      </c>
      <c r="H74" s="15"/>
      <c r="I74" s="15" t="s">
        <v>1119</v>
      </c>
      <c r="J74" s="15"/>
      <c r="K74" s="15" t="s">
        <v>72</v>
      </c>
      <c r="L74" s="15"/>
      <c r="M74" s="15"/>
      <c r="N74" s="15" t="s">
        <v>1161</v>
      </c>
    </row>
    <row r="75" customFormat="false" ht="15" hidden="false" customHeight="true" outlineLevel="0" collapsed="false">
      <c r="A75" s="15" t="n">
        <v>2</v>
      </c>
      <c r="B75" s="15" t="s">
        <v>78</v>
      </c>
      <c r="C75" s="15" t="s">
        <v>1162</v>
      </c>
      <c r="D75" s="15" t="s">
        <v>1163</v>
      </c>
      <c r="E75" s="15" t="s">
        <v>277</v>
      </c>
      <c r="F75" s="15" t="s">
        <v>1164</v>
      </c>
      <c r="G75" s="15" t="s">
        <v>71</v>
      </c>
      <c r="H75" s="15"/>
      <c r="I75" s="15" t="s">
        <v>1119</v>
      </c>
      <c r="J75" s="15"/>
      <c r="K75" s="15" t="s">
        <v>72</v>
      </c>
      <c r="L75" s="15"/>
      <c r="M75" s="15"/>
      <c r="N75" s="15" t="s">
        <v>1165</v>
      </c>
    </row>
    <row r="76" customFormat="false" ht="15" hidden="false" customHeight="true" outlineLevel="0" collapsed="false">
      <c r="A76" s="15" t="n">
        <v>2</v>
      </c>
      <c r="B76" s="15" t="s">
        <v>78</v>
      </c>
      <c r="C76" s="15" t="s">
        <v>1166</v>
      </c>
      <c r="D76" s="15" t="s">
        <v>1167</v>
      </c>
      <c r="E76" s="15" t="s">
        <v>277</v>
      </c>
      <c r="F76" s="15" t="s">
        <v>1168</v>
      </c>
      <c r="G76" s="15" t="s">
        <v>71</v>
      </c>
      <c r="H76" s="15"/>
      <c r="I76" s="15" t="s">
        <v>1119</v>
      </c>
      <c r="J76" s="15"/>
      <c r="K76" s="15" t="s">
        <v>72</v>
      </c>
      <c r="L76" s="15"/>
      <c r="M76" s="15"/>
      <c r="N76" s="15" t="s">
        <v>1169</v>
      </c>
    </row>
    <row r="77" customFormat="false" ht="15" hidden="false" customHeight="true" outlineLevel="0" collapsed="false">
      <c r="A77" s="15" t="n">
        <v>2</v>
      </c>
      <c r="B77" s="15" t="s">
        <v>78</v>
      </c>
      <c r="C77" s="15" t="s">
        <v>1170</v>
      </c>
      <c r="D77" s="15" t="s">
        <v>1171</v>
      </c>
      <c r="E77" s="15" t="s">
        <v>1172</v>
      </c>
      <c r="F77" s="15" t="s">
        <v>1173</v>
      </c>
      <c r="G77" s="15" t="s">
        <v>71</v>
      </c>
      <c r="H77" s="15"/>
      <c r="I77" s="15" t="s">
        <v>1119</v>
      </c>
      <c r="J77" s="15"/>
      <c r="K77" s="15" t="s">
        <v>72</v>
      </c>
      <c r="L77" s="15"/>
      <c r="M77" s="15"/>
      <c r="N77" s="15" t="s">
        <v>1174</v>
      </c>
    </row>
    <row r="78" customFormat="false" ht="15" hidden="false" customHeight="true" outlineLevel="0" collapsed="false">
      <c r="A78" s="15" t="n">
        <v>2</v>
      </c>
      <c r="B78" s="15" t="s">
        <v>78</v>
      </c>
      <c r="C78" s="15" t="s">
        <v>1175</v>
      </c>
      <c r="D78" s="15" t="s">
        <v>1176</v>
      </c>
      <c r="E78" s="15" t="s">
        <v>1172</v>
      </c>
      <c r="F78" s="15" t="s">
        <v>1177</v>
      </c>
      <c r="G78" s="15" t="s">
        <v>71</v>
      </c>
      <c r="H78" s="15"/>
      <c r="I78" s="15" t="s">
        <v>1119</v>
      </c>
      <c r="J78" s="15"/>
      <c r="K78" s="15" t="s">
        <v>72</v>
      </c>
      <c r="L78" s="15"/>
      <c r="M78" s="15"/>
      <c r="N78" s="15" t="s">
        <v>1178</v>
      </c>
    </row>
    <row r="79" customFormat="false" ht="15" hidden="false" customHeight="true" outlineLevel="0" collapsed="false">
      <c r="A79" s="15" t="n">
        <v>2</v>
      </c>
      <c r="B79" s="15" t="s">
        <v>78</v>
      </c>
      <c r="C79" s="15" t="s">
        <v>1179</v>
      </c>
      <c r="D79" s="15" t="s">
        <v>1180</v>
      </c>
      <c r="E79" s="15" t="s">
        <v>703</v>
      </c>
      <c r="F79" s="15" t="s">
        <v>1181</v>
      </c>
      <c r="G79" s="15" t="s">
        <v>71</v>
      </c>
      <c r="H79" s="15"/>
      <c r="I79" s="15" t="s">
        <v>1119</v>
      </c>
      <c r="J79" s="15"/>
      <c r="K79" s="15" t="s">
        <v>72</v>
      </c>
      <c r="L79" s="15"/>
      <c r="M79" s="15"/>
      <c r="N79" s="15" t="s">
        <v>1182</v>
      </c>
    </row>
    <row r="80" customFormat="false" ht="15" hidden="false" customHeight="true" outlineLevel="0" collapsed="false">
      <c r="A80" s="15" t="n">
        <v>2</v>
      </c>
      <c r="B80" s="15" t="s">
        <v>78</v>
      </c>
      <c r="C80" s="15" t="s">
        <v>1183</v>
      </c>
      <c r="D80" s="15" t="s">
        <v>1184</v>
      </c>
      <c r="E80" s="15" t="s">
        <v>280</v>
      </c>
      <c r="F80" s="15" t="s">
        <v>1185</v>
      </c>
      <c r="G80" s="15" t="s">
        <v>71</v>
      </c>
      <c r="H80" s="15"/>
      <c r="I80" s="15" t="s">
        <v>1119</v>
      </c>
      <c r="J80" s="15"/>
      <c r="K80" s="15" t="s">
        <v>72</v>
      </c>
      <c r="L80" s="15"/>
      <c r="M80" s="15"/>
      <c r="N80" s="15" t="s">
        <v>1186</v>
      </c>
    </row>
    <row r="81" customFormat="false" ht="15" hidden="false" customHeight="true" outlineLevel="0" collapsed="false">
      <c r="A81" s="15" t="n">
        <v>2</v>
      </c>
      <c r="B81" s="15" t="s">
        <v>78</v>
      </c>
      <c r="C81" s="15" t="s">
        <v>1187</v>
      </c>
      <c r="D81" s="15" t="s">
        <v>1188</v>
      </c>
      <c r="E81" s="15" t="s">
        <v>283</v>
      </c>
      <c r="F81" s="15" t="s">
        <v>1189</v>
      </c>
      <c r="G81" s="15" t="s">
        <v>71</v>
      </c>
      <c r="H81" s="15"/>
      <c r="I81" s="15" t="s">
        <v>1119</v>
      </c>
      <c r="J81" s="15"/>
      <c r="K81" s="15" t="s">
        <v>72</v>
      </c>
      <c r="L81" s="15"/>
      <c r="M81" s="15"/>
      <c r="N81" s="15" t="s">
        <v>1190</v>
      </c>
    </row>
    <row r="82" customFormat="false" ht="15" hidden="false" customHeight="true" outlineLevel="0" collapsed="false">
      <c r="A82" s="15" t="n">
        <v>2</v>
      </c>
      <c r="B82" s="15" t="s">
        <v>78</v>
      </c>
      <c r="C82" s="15" t="s">
        <v>1191</v>
      </c>
      <c r="D82" s="15" t="s">
        <v>1192</v>
      </c>
      <c r="E82" s="15" t="s">
        <v>283</v>
      </c>
      <c r="F82" s="15" t="s">
        <v>1193</v>
      </c>
      <c r="G82" s="15" t="s">
        <v>71</v>
      </c>
      <c r="H82" s="15"/>
      <c r="I82" s="15" t="s">
        <v>1119</v>
      </c>
      <c r="J82" s="15"/>
      <c r="K82" s="15" t="s">
        <v>72</v>
      </c>
      <c r="L82" s="15"/>
      <c r="M82" s="15"/>
      <c r="N82" s="15" t="s">
        <v>1194</v>
      </c>
    </row>
    <row r="83" customFormat="false" ht="15" hidden="false" customHeight="true" outlineLevel="0" collapsed="false">
      <c r="A83" s="15" t="n">
        <v>3</v>
      </c>
      <c r="B83" s="15" t="s">
        <v>78</v>
      </c>
      <c r="C83" s="15" t="s">
        <v>1195</v>
      </c>
      <c r="D83" s="15" t="s">
        <v>857</v>
      </c>
      <c r="E83" s="15" t="s">
        <v>1196</v>
      </c>
      <c r="F83" s="15" t="s">
        <v>1197</v>
      </c>
      <c r="G83" s="15" t="s">
        <v>71</v>
      </c>
      <c r="H83" s="15"/>
      <c r="I83" s="15" t="s">
        <v>1119</v>
      </c>
      <c r="J83" s="15"/>
      <c r="K83" s="15" t="s">
        <v>72</v>
      </c>
      <c r="L83" s="15"/>
      <c r="M83" s="15"/>
      <c r="N83" s="15" t="s">
        <v>1198</v>
      </c>
    </row>
    <row r="84" customFormat="false" ht="15" hidden="false" customHeight="true" outlineLevel="0" collapsed="false">
      <c r="A84" s="15" t="n">
        <v>3</v>
      </c>
      <c r="B84" s="15" t="s">
        <v>78</v>
      </c>
      <c r="C84" s="15" t="s">
        <v>1199</v>
      </c>
      <c r="D84" s="15" t="s">
        <v>1200</v>
      </c>
      <c r="E84" s="15" t="s">
        <v>679</v>
      </c>
      <c r="F84" s="15" t="s">
        <v>1197</v>
      </c>
      <c r="G84" s="15" t="s">
        <v>71</v>
      </c>
      <c r="H84" s="15"/>
      <c r="I84" s="15" t="s">
        <v>1119</v>
      </c>
      <c r="J84" s="15"/>
      <c r="K84" s="15" t="s">
        <v>72</v>
      </c>
      <c r="L84" s="15"/>
      <c r="M84" s="15"/>
      <c r="N84" s="15" t="s">
        <v>1201</v>
      </c>
    </row>
    <row r="85" customFormat="false" ht="15" hidden="false" customHeight="true" outlineLevel="0" collapsed="false">
      <c r="A85" s="15" t="n">
        <v>3</v>
      </c>
      <c r="B85" s="15" t="s">
        <v>78</v>
      </c>
      <c r="C85" s="15" t="s">
        <v>1202</v>
      </c>
      <c r="D85" s="15" t="s">
        <v>1203</v>
      </c>
      <c r="E85" s="15" t="s">
        <v>1204</v>
      </c>
      <c r="F85" s="15" t="s">
        <v>1197</v>
      </c>
      <c r="G85" s="15" t="s">
        <v>71</v>
      </c>
      <c r="H85" s="15"/>
      <c r="I85" s="15" t="s">
        <v>1119</v>
      </c>
      <c r="J85" s="15"/>
      <c r="K85" s="15" t="s">
        <v>72</v>
      </c>
      <c r="L85" s="15"/>
      <c r="M85" s="15"/>
      <c r="N85" s="15" t="s">
        <v>1205</v>
      </c>
    </row>
    <row r="86" customFormat="false" ht="15" hidden="false" customHeight="true" outlineLevel="0" collapsed="false">
      <c r="A86" s="15" t="n">
        <v>3</v>
      </c>
      <c r="B86" s="15" t="s">
        <v>78</v>
      </c>
      <c r="C86" s="15" t="s">
        <v>1206</v>
      </c>
      <c r="D86" s="15" t="s">
        <v>1207</v>
      </c>
      <c r="E86" s="15" t="s">
        <v>1208</v>
      </c>
      <c r="F86" s="15" t="s">
        <v>1197</v>
      </c>
      <c r="G86" s="15" t="s">
        <v>71</v>
      </c>
      <c r="H86" s="15"/>
      <c r="I86" s="15" t="s">
        <v>1119</v>
      </c>
      <c r="J86" s="15"/>
      <c r="K86" s="15" t="s">
        <v>72</v>
      </c>
      <c r="L86" s="15"/>
      <c r="M86" s="15"/>
      <c r="N86" s="15" t="s">
        <v>1209</v>
      </c>
    </row>
    <row r="87" customFormat="false" ht="15" hidden="false" customHeight="true" outlineLevel="0" collapsed="false">
      <c r="A87" s="15" t="n">
        <v>3</v>
      </c>
      <c r="B87" s="15" t="s">
        <v>78</v>
      </c>
      <c r="C87" s="15" t="s">
        <v>1210</v>
      </c>
      <c r="D87" s="15" t="s">
        <v>1211</v>
      </c>
      <c r="E87" s="15" t="s">
        <v>606</v>
      </c>
      <c r="F87" s="15" t="s">
        <v>1197</v>
      </c>
      <c r="G87" s="15" t="s">
        <v>71</v>
      </c>
      <c r="H87" s="15"/>
      <c r="I87" s="15" t="s">
        <v>1119</v>
      </c>
      <c r="J87" s="15"/>
      <c r="K87" s="15" t="s">
        <v>72</v>
      </c>
      <c r="L87" s="15"/>
      <c r="M87" s="15"/>
      <c r="N87" s="15" t="s">
        <v>1212</v>
      </c>
    </row>
    <row r="88" customFormat="false" ht="15" hidden="false" customHeight="true" outlineLevel="0" collapsed="false">
      <c r="A88" s="15" t="n">
        <v>3</v>
      </c>
      <c r="B88" s="15" t="s">
        <v>78</v>
      </c>
      <c r="C88" s="15" t="s">
        <v>1213</v>
      </c>
      <c r="D88" s="15" t="s">
        <v>1214</v>
      </c>
      <c r="E88" s="15" t="s">
        <v>610</v>
      </c>
      <c r="F88" s="15" t="s">
        <v>1197</v>
      </c>
      <c r="G88" s="15" t="s">
        <v>71</v>
      </c>
      <c r="H88" s="15"/>
      <c r="I88" s="15" t="s">
        <v>1119</v>
      </c>
      <c r="J88" s="15"/>
      <c r="K88" s="15" t="s">
        <v>72</v>
      </c>
      <c r="L88" s="15"/>
      <c r="M88" s="15"/>
      <c r="N88" s="15" t="s">
        <v>1215</v>
      </c>
    </row>
    <row r="89" customFormat="false" ht="15" hidden="false" customHeight="true" outlineLevel="0" collapsed="false">
      <c r="A89" s="15" t="n">
        <v>3</v>
      </c>
      <c r="B89" s="15" t="s">
        <v>78</v>
      </c>
      <c r="C89" s="15" t="s">
        <v>1216</v>
      </c>
      <c r="D89" s="15" t="s">
        <v>1217</v>
      </c>
      <c r="E89" s="15" t="s">
        <v>290</v>
      </c>
      <c r="F89" s="15" t="s">
        <v>1218</v>
      </c>
      <c r="G89" s="15" t="s">
        <v>71</v>
      </c>
      <c r="H89" s="15"/>
      <c r="I89" s="15" t="s">
        <v>1119</v>
      </c>
      <c r="J89" s="15"/>
      <c r="K89" s="15" t="s">
        <v>72</v>
      </c>
      <c r="L89" s="15"/>
      <c r="M89" s="15"/>
      <c r="N89" s="15" t="s">
        <v>1219</v>
      </c>
    </row>
    <row r="90" customFormat="false" ht="15" hidden="false" customHeight="true" outlineLevel="0" collapsed="false">
      <c r="A90" s="15" t="n">
        <v>3</v>
      </c>
      <c r="B90" s="15" t="s">
        <v>78</v>
      </c>
      <c r="C90" s="15" t="s">
        <v>1220</v>
      </c>
      <c r="D90" s="15" t="s">
        <v>1180</v>
      </c>
      <c r="E90" s="15" t="s">
        <v>296</v>
      </c>
      <c r="F90" s="15" t="s">
        <v>1221</v>
      </c>
      <c r="G90" s="15" t="s">
        <v>71</v>
      </c>
      <c r="H90" s="15"/>
      <c r="I90" s="15" t="s">
        <v>1119</v>
      </c>
      <c r="J90" s="15"/>
      <c r="K90" s="15" t="s">
        <v>72</v>
      </c>
      <c r="L90" s="15"/>
      <c r="M90" s="15"/>
      <c r="N90" s="15" t="s">
        <v>1222</v>
      </c>
    </row>
    <row r="91" customFormat="false" ht="15" hidden="false" customHeight="true" outlineLevel="0" collapsed="false">
      <c r="A91" s="15" t="n">
        <v>3</v>
      </c>
      <c r="B91" s="15" t="s">
        <v>78</v>
      </c>
      <c r="C91" s="15" t="s">
        <v>1223</v>
      </c>
      <c r="D91" s="15" t="s">
        <v>1224</v>
      </c>
      <c r="E91" s="15" t="s">
        <v>811</v>
      </c>
      <c r="F91" s="15" t="s">
        <v>1225</v>
      </c>
      <c r="G91" s="15" t="s">
        <v>71</v>
      </c>
      <c r="H91" s="15"/>
      <c r="I91" s="15" t="s">
        <v>1119</v>
      </c>
      <c r="J91" s="15"/>
      <c r="K91" s="15" t="s">
        <v>72</v>
      </c>
      <c r="L91" s="15"/>
      <c r="M91" s="15"/>
      <c r="N91" s="15" t="s">
        <v>1226</v>
      </c>
    </row>
    <row r="92" customFormat="false" ht="15" hidden="false" customHeight="true" outlineLevel="0" collapsed="false">
      <c r="A92" s="15" t="n">
        <v>3</v>
      </c>
      <c r="B92" s="15" t="s">
        <v>78</v>
      </c>
      <c r="C92" s="15" t="s">
        <v>1227</v>
      </c>
      <c r="D92" s="15" t="s">
        <v>1228</v>
      </c>
      <c r="E92" s="15" t="s">
        <v>1229</v>
      </c>
      <c r="F92" s="15" t="s">
        <v>1230</v>
      </c>
      <c r="G92" s="15" t="s">
        <v>71</v>
      </c>
      <c r="H92" s="15"/>
      <c r="I92" s="15" t="s">
        <v>1119</v>
      </c>
      <c r="J92" s="15"/>
      <c r="K92" s="15" t="s">
        <v>72</v>
      </c>
      <c r="L92" s="15"/>
      <c r="M92" s="15"/>
      <c r="N92" s="15" t="s">
        <v>1231</v>
      </c>
    </row>
    <row r="93" customFormat="false" ht="15" hidden="false" customHeight="true" outlineLevel="0" collapsed="false">
      <c r="A93" s="15" t="n">
        <v>3</v>
      </c>
      <c r="B93" s="15" t="s">
        <v>78</v>
      </c>
      <c r="C93" s="15" t="s">
        <v>1232</v>
      </c>
      <c r="D93" s="15" t="s">
        <v>1233</v>
      </c>
      <c r="E93" s="15" t="s">
        <v>1234</v>
      </c>
      <c r="F93" s="15" t="s">
        <v>1235</v>
      </c>
      <c r="G93" s="15" t="s">
        <v>71</v>
      </c>
      <c r="H93" s="15"/>
      <c r="I93" s="15" t="s">
        <v>1119</v>
      </c>
      <c r="J93" s="15"/>
      <c r="K93" s="15" t="s">
        <v>72</v>
      </c>
      <c r="L93" s="15"/>
      <c r="M93" s="15"/>
      <c r="N93" s="15" t="s">
        <v>1236</v>
      </c>
    </row>
    <row r="94" customFormat="false" ht="15" hidden="false" customHeight="true" outlineLevel="0" collapsed="false">
      <c r="A94" s="15" t="n">
        <v>3</v>
      </c>
      <c r="B94" s="15" t="s">
        <v>78</v>
      </c>
      <c r="C94" s="15" t="s">
        <v>1237</v>
      </c>
      <c r="D94" s="15" t="s">
        <v>1238</v>
      </c>
      <c r="E94" s="15" t="s">
        <v>597</v>
      </c>
      <c r="F94" s="15" t="s">
        <v>1239</v>
      </c>
      <c r="G94" s="15" t="s">
        <v>71</v>
      </c>
      <c r="H94" s="15"/>
      <c r="I94" s="15" t="s">
        <v>1119</v>
      </c>
      <c r="J94" s="15"/>
      <c r="K94" s="15" t="s">
        <v>72</v>
      </c>
      <c r="L94" s="15"/>
      <c r="M94" s="15"/>
      <c r="N94" s="15" t="s">
        <v>1240</v>
      </c>
    </row>
    <row r="95" customFormat="false" ht="15" hidden="false" customHeight="true" outlineLevel="0" collapsed="false">
      <c r="A95" s="15" t="n">
        <v>3</v>
      </c>
      <c r="B95" s="15" t="s">
        <v>78</v>
      </c>
      <c r="C95" s="15" t="s">
        <v>1241</v>
      </c>
      <c r="D95" s="15" t="s">
        <v>1242</v>
      </c>
      <c r="E95" s="15" t="s">
        <v>597</v>
      </c>
      <c r="F95" s="15" t="s">
        <v>1243</v>
      </c>
      <c r="G95" s="15" t="s">
        <v>71</v>
      </c>
      <c r="H95" s="15"/>
      <c r="I95" s="15" t="s">
        <v>1119</v>
      </c>
      <c r="J95" s="15"/>
      <c r="K95" s="15" t="s">
        <v>72</v>
      </c>
      <c r="L95" s="15"/>
      <c r="M95" s="15"/>
      <c r="N95" s="15" t="s">
        <v>1244</v>
      </c>
    </row>
    <row r="96" customFormat="false" ht="15" hidden="false" customHeight="true" outlineLevel="0" collapsed="false">
      <c r="A96" s="15" t="n">
        <v>3</v>
      </c>
      <c r="B96" s="15" t="s">
        <v>78</v>
      </c>
      <c r="C96" s="15" t="s">
        <v>1245</v>
      </c>
      <c r="D96" s="15" t="s">
        <v>1246</v>
      </c>
      <c r="E96" s="15" t="s">
        <v>602</v>
      </c>
      <c r="F96" s="15" t="s">
        <v>1247</v>
      </c>
      <c r="G96" s="15" t="s">
        <v>71</v>
      </c>
      <c r="H96" s="15"/>
      <c r="I96" s="15" t="s">
        <v>1119</v>
      </c>
      <c r="J96" s="15"/>
      <c r="K96" s="15" t="s">
        <v>72</v>
      </c>
      <c r="L96" s="15"/>
      <c r="M96" s="15"/>
      <c r="N96" s="15" t="s">
        <v>1248</v>
      </c>
    </row>
    <row r="97" customFormat="false" ht="15" hidden="false" customHeight="true" outlineLevel="0" collapsed="false">
      <c r="A97" s="15" t="n">
        <v>3</v>
      </c>
      <c r="B97" s="15" t="s">
        <v>78</v>
      </c>
      <c r="C97" s="15" t="s">
        <v>1249</v>
      </c>
      <c r="D97" s="15" t="s">
        <v>1250</v>
      </c>
      <c r="E97" s="15" t="s">
        <v>1251</v>
      </c>
      <c r="F97" s="15" t="s">
        <v>1252</v>
      </c>
      <c r="G97" s="15" t="s">
        <v>71</v>
      </c>
      <c r="H97" s="15"/>
      <c r="I97" s="15" t="s">
        <v>1119</v>
      </c>
      <c r="J97" s="15"/>
      <c r="K97" s="15" t="s">
        <v>72</v>
      </c>
      <c r="L97" s="15"/>
      <c r="M97" s="15"/>
      <c r="N97" s="15" t="s">
        <v>1253</v>
      </c>
    </row>
    <row r="98" customFormat="false" ht="15" hidden="false" customHeight="true" outlineLevel="0" collapsed="false">
      <c r="A98" s="15" t="n">
        <v>3</v>
      </c>
      <c r="B98" s="15" t="s">
        <v>78</v>
      </c>
      <c r="C98" s="15" t="s">
        <v>1254</v>
      </c>
      <c r="D98" s="15" t="s">
        <v>1255</v>
      </c>
      <c r="E98" s="15" t="s">
        <v>1251</v>
      </c>
      <c r="F98" s="15" t="s">
        <v>1256</v>
      </c>
      <c r="G98" s="15" t="s">
        <v>71</v>
      </c>
      <c r="H98" s="15"/>
      <c r="I98" s="15" t="s">
        <v>1119</v>
      </c>
      <c r="J98" s="15"/>
      <c r="K98" s="15" t="s">
        <v>72</v>
      </c>
      <c r="L98" s="15"/>
      <c r="M98" s="15"/>
      <c r="N98" s="15" t="s">
        <v>1257</v>
      </c>
    </row>
    <row r="99" customFormat="false" ht="15" hidden="false" customHeight="true" outlineLevel="0" collapsed="false">
      <c r="A99" s="15" t="n">
        <v>3</v>
      </c>
      <c r="B99" s="15" t="s">
        <v>78</v>
      </c>
      <c r="C99" s="15" t="s">
        <v>1258</v>
      </c>
      <c r="D99" s="15" t="s">
        <v>1259</v>
      </c>
      <c r="E99" s="15" t="s">
        <v>665</v>
      </c>
      <c r="F99" s="15" t="s">
        <v>1260</v>
      </c>
      <c r="G99" s="15" t="s">
        <v>71</v>
      </c>
      <c r="H99" s="15"/>
      <c r="I99" s="15" t="s">
        <v>1119</v>
      </c>
      <c r="J99" s="15"/>
      <c r="K99" s="15" t="s">
        <v>72</v>
      </c>
      <c r="L99" s="15"/>
      <c r="M99" s="15"/>
      <c r="N99" s="15" t="s">
        <v>1261</v>
      </c>
    </row>
    <row r="100" customFormat="false" ht="15" hidden="false" customHeight="true" outlineLevel="0" collapsed="false">
      <c r="A100" s="15" t="n">
        <v>3</v>
      </c>
      <c r="B100" s="15" t="s">
        <v>78</v>
      </c>
      <c r="C100" s="15" t="s">
        <v>1262</v>
      </c>
      <c r="D100" s="15" t="s">
        <v>1263</v>
      </c>
      <c r="E100" s="15" t="s">
        <v>665</v>
      </c>
      <c r="F100" s="15" t="s">
        <v>1264</v>
      </c>
      <c r="G100" s="15" t="s">
        <v>71</v>
      </c>
      <c r="H100" s="15"/>
      <c r="I100" s="15" t="s">
        <v>1119</v>
      </c>
      <c r="J100" s="15"/>
      <c r="K100" s="15" t="s">
        <v>72</v>
      </c>
      <c r="L100" s="15"/>
      <c r="M100" s="15"/>
      <c r="N100" s="15" t="s">
        <v>1265</v>
      </c>
    </row>
    <row r="101" customFormat="false" ht="15" hidden="false" customHeight="true" outlineLevel="0" collapsed="false">
      <c r="A101" s="15" t="n">
        <v>3</v>
      </c>
      <c r="B101" s="15" t="s">
        <v>78</v>
      </c>
      <c r="C101" s="15" t="s">
        <v>1266</v>
      </c>
      <c r="D101" s="15" t="s">
        <v>1267</v>
      </c>
      <c r="E101" s="15" t="s">
        <v>1268</v>
      </c>
      <c r="F101" s="15" t="s">
        <v>1269</v>
      </c>
      <c r="G101" s="15" t="s">
        <v>71</v>
      </c>
      <c r="H101" s="15"/>
      <c r="I101" s="15" t="s">
        <v>1119</v>
      </c>
      <c r="J101" s="15"/>
      <c r="K101" s="15" t="s">
        <v>72</v>
      </c>
      <c r="L101" s="15"/>
      <c r="M101" s="15"/>
      <c r="N101" s="15" t="s">
        <v>1270</v>
      </c>
    </row>
    <row r="102" customFormat="false" ht="15" hidden="false" customHeight="true" outlineLevel="0" collapsed="false">
      <c r="A102" s="15" t="n">
        <v>3</v>
      </c>
      <c r="B102" s="15" t="s">
        <v>78</v>
      </c>
      <c r="C102" s="15" t="s">
        <v>1271</v>
      </c>
      <c r="D102" s="15" t="s">
        <v>1272</v>
      </c>
      <c r="E102" s="15" t="s">
        <v>1273</v>
      </c>
      <c r="F102" s="15" t="s">
        <v>1274</v>
      </c>
      <c r="G102" s="15" t="s">
        <v>71</v>
      </c>
      <c r="H102" s="15"/>
      <c r="I102" s="15" t="s">
        <v>1119</v>
      </c>
      <c r="J102" s="15"/>
      <c r="K102" s="15" t="s">
        <v>72</v>
      </c>
      <c r="L102" s="15"/>
      <c r="M102" s="15"/>
      <c r="N102" s="15" t="s">
        <v>1275</v>
      </c>
    </row>
    <row r="103" customFormat="false" ht="15" hidden="false" customHeight="true" outlineLevel="0" collapsed="false">
      <c r="A103" s="15" t="n">
        <v>3</v>
      </c>
      <c r="B103" s="15" t="s">
        <v>78</v>
      </c>
      <c r="C103" s="15" t="s">
        <v>1276</v>
      </c>
      <c r="D103" s="15" t="s">
        <v>1277</v>
      </c>
      <c r="E103" s="15" t="s">
        <v>299</v>
      </c>
      <c r="F103" s="15" t="s">
        <v>1278</v>
      </c>
      <c r="G103" s="15" t="s">
        <v>71</v>
      </c>
      <c r="H103" s="15"/>
      <c r="I103" s="15" t="s">
        <v>1119</v>
      </c>
      <c r="J103" s="15"/>
      <c r="K103" s="15" t="s">
        <v>72</v>
      </c>
      <c r="L103" s="15"/>
      <c r="M103" s="15"/>
      <c r="N103" s="15" t="s">
        <v>1279</v>
      </c>
    </row>
    <row r="104" customFormat="false" ht="15" hidden="false" customHeight="true" outlineLevel="0" collapsed="false">
      <c r="A104" s="15" t="n">
        <v>3</v>
      </c>
      <c r="B104" s="15" t="s">
        <v>78</v>
      </c>
      <c r="C104" s="15" t="s">
        <v>1280</v>
      </c>
      <c r="D104" s="15" t="s">
        <v>1281</v>
      </c>
      <c r="E104" s="15" t="s">
        <v>314</v>
      </c>
      <c r="F104" s="15" t="s">
        <v>1282</v>
      </c>
      <c r="G104" s="15" t="s">
        <v>71</v>
      </c>
      <c r="H104" s="15"/>
      <c r="I104" s="15" t="s">
        <v>1119</v>
      </c>
      <c r="J104" s="15"/>
      <c r="K104" s="15" t="s">
        <v>72</v>
      </c>
      <c r="L104" s="15"/>
      <c r="M104" s="15"/>
      <c r="N104" s="15" t="s">
        <v>1283</v>
      </c>
    </row>
    <row r="105" customFormat="false" ht="15" hidden="false" customHeight="true" outlineLevel="0" collapsed="false">
      <c r="A105" s="15" t="n">
        <v>3</v>
      </c>
      <c r="B105" s="15" t="s">
        <v>78</v>
      </c>
      <c r="C105" s="15" t="s">
        <v>1284</v>
      </c>
      <c r="D105" s="15" t="s">
        <v>1285</v>
      </c>
      <c r="E105" s="15" t="s">
        <v>1286</v>
      </c>
      <c r="F105" s="15" t="s">
        <v>1287</v>
      </c>
      <c r="G105" s="15" t="s">
        <v>71</v>
      </c>
      <c r="H105" s="15"/>
      <c r="I105" s="15" t="s">
        <v>1119</v>
      </c>
      <c r="J105" s="15"/>
      <c r="K105" s="15" t="s">
        <v>72</v>
      </c>
      <c r="L105" s="15"/>
      <c r="M105" s="15"/>
      <c r="N105" s="15" t="s">
        <v>1288</v>
      </c>
    </row>
    <row r="106" customFormat="false" ht="15" hidden="false" customHeight="true" outlineLevel="0" collapsed="false">
      <c r="A106" s="15" t="n">
        <v>3</v>
      </c>
      <c r="B106" s="15" t="s">
        <v>78</v>
      </c>
      <c r="C106" s="15" t="s">
        <v>1289</v>
      </c>
      <c r="D106" s="15" t="s">
        <v>1290</v>
      </c>
      <c r="E106" s="15" t="s">
        <v>1291</v>
      </c>
      <c r="F106" s="15" t="s">
        <v>1292</v>
      </c>
      <c r="G106" s="15" t="s">
        <v>71</v>
      </c>
      <c r="H106" s="15"/>
      <c r="I106" s="15" t="s">
        <v>1119</v>
      </c>
      <c r="J106" s="15"/>
      <c r="K106" s="15" t="s">
        <v>72</v>
      </c>
      <c r="L106" s="15"/>
      <c r="M106" s="15"/>
      <c r="N106" s="15" t="s">
        <v>1293</v>
      </c>
    </row>
    <row r="107" customFormat="false" ht="34.5" hidden="false" customHeight="true" outlineLevel="0" collapsed="false">
      <c r="A107" s="16" t="n">
        <v>4</v>
      </c>
      <c r="B107" s="16" t="s">
        <v>78</v>
      </c>
      <c r="C107" s="16" t="s">
        <v>1294</v>
      </c>
      <c r="D107" s="16" t="s">
        <v>941</v>
      </c>
      <c r="E107" s="16" t="s">
        <v>1295</v>
      </c>
      <c r="F107" s="16" t="s">
        <v>1296</v>
      </c>
      <c r="G107" s="16" t="s">
        <v>71</v>
      </c>
      <c r="H107" s="16"/>
      <c r="I107" s="16" t="s">
        <v>859</v>
      </c>
      <c r="J107" s="16"/>
      <c r="K107" s="16" t="s">
        <v>72</v>
      </c>
      <c r="L107" s="16"/>
      <c r="M107" s="16"/>
      <c r="N107" s="16" t="s">
        <v>1297</v>
      </c>
    </row>
    <row r="108" customFormat="false" ht="34.5" hidden="false" customHeight="true" outlineLevel="0" collapsed="false">
      <c r="A108" s="16" t="n">
        <v>4</v>
      </c>
      <c r="B108" s="16" t="s">
        <v>78</v>
      </c>
      <c r="C108" s="16" t="s">
        <v>1298</v>
      </c>
      <c r="D108" s="16" t="s">
        <v>1299</v>
      </c>
      <c r="E108" s="16" t="s">
        <v>1295</v>
      </c>
      <c r="F108" s="16" t="s">
        <v>1300</v>
      </c>
      <c r="G108" s="16" t="s">
        <v>71</v>
      </c>
      <c r="H108" s="16"/>
      <c r="I108" s="16" t="s">
        <v>859</v>
      </c>
      <c r="J108" s="16"/>
      <c r="K108" s="16" t="s">
        <v>72</v>
      </c>
      <c r="L108" s="16"/>
      <c r="M108" s="16"/>
      <c r="N108" s="16" t="s">
        <v>1301</v>
      </c>
    </row>
    <row r="109" customFormat="false" ht="23.25" hidden="false" customHeight="true" outlineLevel="0" collapsed="false">
      <c r="A109" s="16" t="n">
        <v>4</v>
      </c>
      <c r="B109" s="16" t="s">
        <v>78</v>
      </c>
      <c r="C109" s="16" t="s">
        <v>1302</v>
      </c>
      <c r="D109" s="16" t="s">
        <v>1303</v>
      </c>
      <c r="E109" s="16" t="s">
        <v>1295</v>
      </c>
      <c r="F109" s="16" t="s">
        <v>1304</v>
      </c>
      <c r="G109" s="16" t="s">
        <v>71</v>
      </c>
      <c r="H109" s="16"/>
      <c r="I109" s="16" t="s">
        <v>859</v>
      </c>
      <c r="J109" s="16"/>
      <c r="K109" s="16" t="s">
        <v>72</v>
      </c>
      <c r="L109" s="16"/>
      <c r="M109" s="16"/>
      <c r="N109" s="16" t="s">
        <v>1305</v>
      </c>
    </row>
    <row r="110" customFormat="false" ht="34.5" hidden="false" customHeight="true" outlineLevel="0" collapsed="false">
      <c r="A110" s="16" t="n">
        <v>4</v>
      </c>
      <c r="B110" s="16" t="s">
        <v>78</v>
      </c>
      <c r="C110" s="16" t="s">
        <v>1306</v>
      </c>
      <c r="D110" s="16" t="s">
        <v>1307</v>
      </c>
      <c r="E110" s="16" t="s">
        <v>1308</v>
      </c>
      <c r="F110" s="16" t="s">
        <v>1309</v>
      </c>
      <c r="G110" s="16" t="s">
        <v>71</v>
      </c>
      <c r="H110" s="16"/>
      <c r="I110" s="16" t="s">
        <v>859</v>
      </c>
      <c r="J110" s="16"/>
      <c r="K110" s="16" t="s">
        <v>72</v>
      </c>
      <c r="L110" s="16"/>
      <c r="M110" s="16"/>
      <c r="N110" s="16" t="s">
        <v>1310</v>
      </c>
    </row>
    <row r="111" customFormat="false" ht="23.25" hidden="false" customHeight="true" outlineLevel="0" collapsed="false">
      <c r="A111" s="16" t="n">
        <v>4</v>
      </c>
      <c r="B111" s="16" t="s">
        <v>78</v>
      </c>
      <c r="C111" s="16" t="s">
        <v>1311</v>
      </c>
      <c r="D111" s="16" t="s">
        <v>1312</v>
      </c>
      <c r="E111" s="16" t="s">
        <v>1308</v>
      </c>
      <c r="F111" s="16" t="s">
        <v>1313</v>
      </c>
      <c r="G111" s="16" t="s">
        <v>71</v>
      </c>
      <c r="H111" s="16"/>
      <c r="I111" s="16" t="s">
        <v>859</v>
      </c>
      <c r="J111" s="16"/>
      <c r="K111" s="16" t="s">
        <v>72</v>
      </c>
      <c r="L111" s="16"/>
      <c r="M111" s="16"/>
      <c r="N111" s="16" t="s">
        <v>1314</v>
      </c>
    </row>
    <row r="112" customFormat="false" ht="23.25" hidden="false" customHeight="true" outlineLevel="0" collapsed="false">
      <c r="A112" s="16" t="n">
        <v>4</v>
      </c>
      <c r="B112" s="16" t="s">
        <v>78</v>
      </c>
      <c r="C112" s="16" t="s">
        <v>1315</v>
      </c>
      <c r="D112" s="16" t="s">
        <v>1316</v>
      </c>
      <c r="E112" s="16" t="s">
        <v>1317</v>
      </c>
      <c r="F112" s="16" t="s">
        <v>1318</v>
      </c>
      <c r="G112" s="16" t="s">
        <v>71</v>
      </c>
      <c r="H112" s="16"/>
      <c r="I112" s="16" t="s">
        <v>859</v>
      </c>
      <c r="J112" s="16"/>
      <c r="K112" s="16" t="s">
        <v>72</v>
      </c>
      <c r="L112" s="16"/>
      <c r="M112" s="16"/>
      <c r="N112" s="16" t="s">
        <v>1319</v>
      </c>
    </row>
    <row r="113" customFormat="false" ht="23.25" hidden="false" customHeight="true" outlineLevel="0" collapsed="false">
      <c r="A113" s="16" t="n">
        <v>4</v>
      </c>
      <c r="B113" s="16" t="s">
        <v>78</v>
      </c>
      <c r="C113" s="16" t="s">
        <v>1320</v>
      </c>
      <c r="D113" s="16" t="s">
        <v>1321</v>
      </c>
      <c r="E113" s="16" t="s">
        <v>1322</v>
      </c>
      <c r="F113" s="16" t="s">
        <v>1323</v>
      </c>
      <c r="G113" s="16" t="s">
        <v>71</v>
      </c>
      <c r="H113" s="16"/>
      <c r="I113" s="16" t="s">
        <v>859</v>
      </c>
      <c r="J113" s="16"/>
      <c r="K113" s="16" t="s">
        <v>72</v>
      </c>
      <c r="L113" s="16"/>
      <c r="M113" s="16"/>
      <c r="N113" s="16" t="s">
        <v>1324</v>
      </c>
    </row>
    <row r="114" customFormat="false" ht="23.25" hidden="false" customHeight="true" outlineLevel="0" collapsed="false">
      <c r="A114" s="16" t="n">
        <v>4</v>
      </c>
      <c r="B114" s="16" t="s">
        <v>78</v>
      </c>
      <c r="C114" s="16" t="s">
        <v>1325</v>
      </c>
      <c r="D114" s="16" t="s">
        <v>1326</v>
      </c>
      <c r="E114" s="16" t="s">
        <v>1322</v>
      </c>
      <c r="F114" s="16" t="s">
        <v>1327</v>
      </c>
      <c r="G114" s="16" t="s">
        <v>71</v>
      </c>
      <c r="H114" s="16"/>
      <c r="I114" s="16" t="s">
        <v>859</v>
      </c>
      <c r="J114" s="16"/>
      <c r="K114" s="16" t="s">
        <v>72</v>
      </c>
      <c r="L114" s="16"/>
      <c r="M114" s="16"/>
      <c r="N114" s="16" t="s">
        <v>1328</v>
      </c>
    </row>
    <row r="115" customFormat="false" ht="34.5" hidden="false" customHeight="true" outlineLevel="0" collapsed="false">
      <c r="A115" s="16" t="n">
        <v>4</v>
      </c>
      <c r="B115" s="16" t="s">
        <v>78</v>
      </c>
      <c r="C115" s="16" t="s">
        <v>1329</v>
      </c>
      <c r="D115" s="16" t="s">
        <v>1330</v>
      </c>
      <c r="E115" s="16" t="s">
        <v>1331</v>
      </c>
      <c r="F115" s="16" t="s">
        <v>1332</v>
      </c>
      <c r="G115" s="16" t="s">
        <v>71</v>
      </c>
      <c r="H115" s="16"/>
      <c r="I115" s="16" t="s">
        <v>859</v>
      </c>
      <c r="J115" s="16"/>
      <c r="K115" s="16" t="s">
        <v>72</v>
      </c>
      <c r="L115" s="16"/>
      <c r="M115" s="16"/>
      <c r="N115" s="16" t="s">
        <v>1333</v>
      </c>
    </row>
    <row r="116" customFormat="false" ht="34.5" hidden="false" customHeight="true" outlineLevel="0" collapsed="false">
      <c r="A116" s="16" t="n">
        <v>4</v>
      </c>
      <c r="B116" s="16" t="s">
        <v>78</v>
      </c>
      <c r="C116" s="16" t="s">
        <v>1334</v>
      </c>
      <c r="D116" s="16" t="s">
        <v>1180</v>
      </c>
      <c r="E116" s="16" t="s">
        <v>1335</v>
      </c>
      <c r="F116" s="16" t="s">
        <v>1336</v>
      </c>
      <c r="G116" s="16" t="s">
        <v>71</v>
      </c>
      <c r="H116" s="16"/>
      <c r="I116" s="16" t="s">
        <v>859</v>
      </c>
      <c r="J116" s="16"/>
      <c r="K116" s="16" t="s">
        <v>72</v>
      </c>
      <c r="L116" s="16"/>
      <c r="M116" s="16"/>
      <c r="N116" s="16" t="s">
        <v>1337</v>
      </c>
    </row>
    <row r="117" customFormat="false" ht="23.25" hidden="false" customHeight="true" outlineLevel="0" collapsed="false">
      <c r="A117" s="16" t="n">
        <v>4</v>
      </c>
      <c r="B117" s="16" t="s">
        <v>78</v>
      </c>
      <c r="C117" s="16" t="s">
        <v>1338</v>
      </c>
      <c r="D117" s="16" t="s">
        <v>1339</v>
      </c>
      <c r="E117" s="16" t="s">
        <v>1340</v>
      </c>
      <c r="F117" s="16" t="s">
        <v>1341</v>
      </c>
      <c r="G117" s="16" t="s">
        <v>71</v>
      </c>
      <c r="H117" s="16"/>
      <c r="I117" s="16" t="s">
        <v>859</v>
      </c>
      <c r="J117" s="16"/>
      <c r="K117" s="16" t="s">
        <v>72</v>
      </c>
      <c r="L117" s="16"/>
      <c r="M117" s="16"/>
      <c r="N117" s="16" t="s">
        <v>1342</v>
      </c>
    </row>
    <row r="118" customFormat="false" ht="23.25" hidden="false" customHeight="true" outlineLevel="0" collapsed="false">
      <c r="A118" s="16" t="n">
        <v>4</v>
      </c>
      <c r="B118" s="16" t="s">
        <v>78</v>
      </c>
      <c r="C118" s="16" t="s">
        <v>1343</v>
      </c>
      <c r="D118" s="16" t="s">
        <v>1344</v>
      </c>
      <c r="E118" s="16" t="s">
        <v>1345</v>
      </c>
      <c r="F118" s="16" t="s">
        <v>1346</v>
      </c>
      <c r="G118" s="16" t="s">
        <v>71</v>
      </c>
      <c r="H118" s="16"/>
      <c r="I118" s="16" t="s">
        <v>859</v>
      </c>
      <c r="J118" s="16"/>
      <c r="K118" s="16" t="s">
        <v>72</v>
      </c>
      <c r="L118" s="16"/>
      <c r="M118" s="16"/>
      <c r="N118" s="16" t="s">
        <v>1347</v>
      </c>
    </row>
    <row r="119" customFormat="false" ht="23.25" hidden="false" customHeight="true" outlineLevel="0" collapsed="false">
      <c r="A119" s="16" t="n">
        <v>4</v>
      </c>
      <c r="B119" s="16" t="s">
        <v>78</v>
      </c>
      <c r="C119" s="16" t="s">
        <v>1348</v>
      </c>
      <c r="D119" s="16" t="s">
        <v>1349</v>
      </c>
      <c r="E119" s="16" t="s">
        <v>1350</v>
      </c>
      <c r="F119" s="16" t="s">
        <v>1351</v>
      </c>
      <c r="G119" s="16" t="s">
        <v>71</v>
      </c>
      <c r="H119" s="16"/>
      <c r="I119" s="16" t="s">
        <v>859</v>
      </c>
      <c r="J119" s="16"/>
      <c r="K119" s="16" t="s">
        <v>72</v>
      </c>
      <c r="L119" s="16"/>
      <c r="M119" s="16"/>
      <c r="N119" s="16" t="s">
        <v>1352</v>
      </c>
    </row>
    <row r="120" customFormat="false" ht="23.25" hidden="false" customHeight="true" outlineLevel="0" collapsed="false">
      <c r="A120" s="16" t="n">
        <v>4</v>
      </c>
      <c r="B120" s="16" t="s">
        <v>78</v>
      </c>
      <c r="C120" s="16" t="s">
        <v>1353</v>
      </c>
      <c r="D120" s="16" t="s">
        <v>1180</v>
      </c>
      <c r="E120" s="16" t="s">
        <v>629</v>
      </c>
      <c r="F120" s="16" t="s">
        <v>1354</v>
      </c>
      <c r="G120" s="16" t="s">
        <v>71</v>
      </c>
      <c r="H120" s="16"/>
      <c r="I120" s="16" t="s">
        <v>859</v>
      </c>
      <c r="J120" s="16"/>
      <c r="K120" s="16" t="s">
        <v>72</v>
      </c>
      <c r="L120" s="16"/>
      <c r="M120" s="16"/>
      <c r="N120" s="16" t="s">
        <v>1355</v>
      </c>
    </row>
    <row r="121" customFormat="false" ht="34.5" hidden="false" customHeight="true" outlineLevel="0" collapsed="false">
      <c r="A121" s="16" t="n">
        <v>4</v>
      </c>
      <c r="B121" s="16" t="s">
        <v>78</v>
      </c>
      <c r="C121" s="16" t="s">
        <v>1356</v>
      </c>
      <c r="D121" s="16" t="s">
        <v>1357</v>
      </c>
      <c r="E121" s="16" t="s">
        <v>623</v>
      </c>
      <c r="F121" s="16" t="s">
        <v>1358</v>
      </c>
      <c r="G121" s="16" t="s">
        <v>71</v>
      </c>
      <c r="H121" s="16"/>
      <c r="I121" s="16" t="s">
        <v>859</v>
      </c>
      <c r="J121" s="16"/>
      <c r="K121" s="16" t="s">
        <v>72</v>
      </c>
      <c r="L121" s="16"/>
      <c r="M121" s="16"/>
      <c r="N121" s="16" t="s">
        <v>1359</v>
      </c>
    </row>
    <row r="122" customFormat="false" ht="34.5" hidden="false" customHeight="true" outlineLevel="0" collapsed="false">
      <c r="A122" s="16" t="n">
        <v>4</v>
      </c>
      <c r="B122" s="16" t="s">
        <v>78</v>
      </c>
      <c r="C122" s="16" t="s">
        <v>1360</v>
      </c>
      <c r="D122" s="16" t="s">
        <v>1180</v>
      </c>
      <c r="E122" s="16" t="s">
        <v>639</v>
      </c>
      <c r="F122" s="16" t="s">
        <v>1361</v>
      </c>
      <c r="G122" s="16" t="s">
        <v>71</v>
      </c>
      <c r="H122" s="16"/>
      <c r="I122" s="16" t="s">
        <v>859</v>
      </c>
      <c r="J122" s="16"/>
      <c r="K122" s="16" t="s">
        <v>72</v>
      </c>
      <c r="L122" s="16"/>
      <c r="M122" s="16"/>
      <c r="N122" s="16" t="s">
        <v>1362</v>
      </c>
    </row>
    <row r="123" customFormat="false" ht="34.5" hidden="false" customHeight="true" outlineLevel="0" collapsed="false">
      <c r="A123" s="16" t="n">
        <v>4</v>
      </c>
      <c r="B123" s="16" t="s">
        <v>78</v>
      </c>
      <c r="C123" s="16" t="s">
        <v>1363</v>
      </c>
      <c r="D123" s="16" t="s">
        <v>1364</v>
      </c>
      <c r="E123" s="16" t="s">
        <v>1365</v>
      </c>
      <c r="F123" s="16" t="s">
        <v>1366</v>
      </c>
      <c r="G123" s="16" t="s">
        <v>71</v>
      </c>
      <c r="H123" s="16"/>
      <c r="I123" s="16" t="s">
        <v>859</v>
      </c>
      <c r="J123" s="16"/>
      <c r="K123" s="16" t="s">
        <v>72</v>
      </c>
      <c r="L123" s="16"/>
      <c r="M123" s="16"/>
      <c r="N123" s="16" t="s">
        <v>1367</v>
      </c>
    </row>
    <row r="124" customFormat="false" ht="34.5" hidden="false" customHeight="true" outlineLevel="0" collapsed="false">
      <c r="A124" s="16" t="n">
        <v>4</v>
      </c>
      <c r="B124" s="16" t="s">
        <v>78</v>
      </c>
      <c r="C124" s="16" t="s">
        <v>1368</v>
      </c>
      <c r="D124" s="16" t="s">
        <v>1369</v>
      </c>
      <c r="E124" s="16" t="s">
        <v>1365</v>
      </c>
      <c r="F124" s="16" t="s">
        <v>1370</v>
      </c>
      <c r="G124" s="16" t="s">
        <v>71</v>
      </c>
      <c r="H124" s="16"/>
      <c r="I124" s="16" t="s">
        <v>859</v>
      </c>
      <c r="J124" s="16"/>
      <c r="K124" s="16" t="s">
        <v>72</v>
      </c>
      <c r="L124" s="16"/>
      <c r="M124" s="16"/>
      <c r="N124" s="16" t="s">
        <v>1371</v>
      </c>
    </row>
    <row r="125" customFormat="false" ht="23.25" hidden="false" customHeight="true" outlineLevel="0" collapsed="false">
      <c r="A125" s="16" t="n">
        <v>4</v>
      </c>
      <c r="B125" s="16" t="s">
        <v>78</v>
      </c>
      <c r="C125" s="16" t="s">
        <v>1372</v>
      </c>
      <c r="D125" s="16" t="s">
        <v>1373</v>
      </c>
      <c r="E125" s="16" t="s">
        <v>1374</v>
      </c>
      <c r="F125" s="16" t="s">
        <v>1375</v>
      </c>
      <c r="G125" s="16" t="s">
        <v>71</v>
      </c>
      <c r="H125" s="16"/>
      <c r="I125" s="16" t="s">
        <v>859</v>
      </c>
      <c r="J125" s="16"/>
      <c r="K125" s="16" t="s">
        <v>72</v>
      </c>
      <c r="L125" s="16"/>
      <c r="M125" s="16"/>
      <c r="N125" s="16" t="s">
        <v>1376</v>
      </c>
    </row>
    <row r="126" customFormat="false" ht="34.5" hidden="false" customHeight="true" outlineLevel="0" collapsed="false">
      <c r="A126" s="16" t="n">
        <v>4</v>
      </c>
      <c r="B126" s="16" t="s">
        <v>78</v>
      </c>
      <c r="C126" s="16" t="s">
        <v>1377</v>
      </c>
      <c r="D126" s="16" t="s">
        <v>1378</v>
      </c>
      <c r="E126" s="16" t="s">
        <v>1379</v>
      </c>
      <c r="F126" s="16" t="s">
        <v>1380</v>
      </c>
      <c r="G126" s="16" t="s">
        <v>71</v>
      </c>
      <c r="H126" s="16"/>
      <c r="I126" s="16" t="s">
        <v>859</v>
      </c>
      <c r="J126" s="16"/>
      <c r="K126" s="16" t="s">
        <v>72</v>
      </c>
      <c r="L126" s="16"/>
      <c r="M126" s="16"/>
      <c r="N126" s="16" t="s">
        <v>1381</v>
      </c>
    </row>
    <row r="127" customFormat="false" ht="23.25" hidden="false" customHeight="true" outlineLevel="0" collapsed="false">
      <c r="A127" s="16" t="n">
        <v>4</v>
      </c>
      <c r="B127" s="16" t="s">
        <v>78</v>
      </c>
      <c r="C127" s="16" t="s">
        <v>1382</v>
      </c>
      <c r="D127" s="16" t="s">
        <v>1383</v>
      </c>
      <c r="E127" s="16" t="s">
        <v>1379</v>
      </c>
      <c r="F127" s="16" t="s">
        <v>1384</v>
      </c>
      <c r="G127" s="16" t="s">
        <v>71</v>
      </c>
      <c r="H127" s="16"/>
      <c r="I127" s="16" t="s">
        <v>859</v>
      </c>
      <c r="J127" s="16"/>
      <c r="K127" s="16" t="s">
        <v>72</v>
      </c>
      <c r="L127" s="16"/>
      <c r="M127" s="16"/>
      <c r="N127" s="16" t="s">
        <v>1385</v>
      </c>
    </row>
    <row r="128" customFormat="false" ht="23.25" hidden="false" customHeight="true" outlineLevel="0" collapsed="false">
      <c r="A128" s="16" t="n">
        <v>4</v>
      </c>
      <c r="B128" s="16" t="s">
        <v>78</v>
      </c>
      <c r="C128" s="16" t="s">
        <v>1386</v>
      </c>
      <c r="D128" s="16" t="s">
        <v>1002</v>
      </c>
      <c r="E128" s="16" t="s">
        <v>540</v>
      </c>
      <c r="F128" s="16" t="s">
        <v>1387</v>
      </c>
      <c r="G128" s="16" t="s">
        <v>71</v>
      </c>
      <c r="H128" s="16"/>
      <c r="I128" s="16" t="s">
        <v>859</v>
      </c>
      <c r="J128" s="16"/>
      <c r="K128" s="16" t="s">
        <v>72</v>
      </c>
      <c r="L128" s="16"/>
      <c r="M128" s="16"/>
      <c r="N128" s="16" t="s">
        <v>1388</v>
      </c>
    </row>
    <row r="129" customFormat="false" ht="23.25" hidden="false" customHeight="true" outlineLevel="0" collapsed="false">
      <c r="A129" s="16" t="n">
        <v>4</v>
      </c>
      <c r="B129" s="16" t="s">
        <v>78</v>
      </c>
      <c r="C129" s="16" t="s">
        <v>1389</v>
      </c>
      <c r="D129" s="16" t="s">
        <v>1390</v>
      </c>
      <c r="E129" s="16" t="s">
        <v>618</v>
      </c>
      <c r="F129" s="16" t="s">
        <v>1391</v>
      </c>
      <c r="G129" s="16" t="s">
        <v>71</v>
      </c>
      <c r="H129" s="16"/>
      <c r="I129" s="16" t="s">
        <v>859</v>
      </c>
      <c r="J129" s="16"/>
      <c r="K129" s="16" t="s">
        <v>72</v>
      </c>
      <c r="L129" s="16"/>
      <c r="M129" s="16"/>
      <c r="N129" s="16" t="s">
        <v>1392</v>
      </c>
    </row>
    <row r="130" customFormat="false" ht="23.25" hidden="false" customHeight="true" outlineLevel="0" collapsed="false">
      <c r="A130" s="16" t="n">
        <v>4</v>
      </c>
      <c r="B130" s="16" t="s">
        <v>78</v>
      </c>
      <c r="C130" s="16" t="s">
        <v>1393</v>
      </c>
      <c r="D130" s="16" t="s">
        <v>1394</v>
      </c>
      <c r="E130" s="16" t="s">
        <v>618</v>
      </c>
      <c r="F130" s="16" t="s">
        <v>1395</v>
      </c>
      <c r="G130" s="16" t="s">
        <v>71</v>
      </c>
      <c r="H130" s="16"/>
      <c r="I130" s="16" t="s">
        <v>859</v>
      </c>
      <c r="J130" s="16"/>
      <c r="K130" s="16" t="s">
        <v>72</v>
      </c>
      <c r="L130" s="16"/>
      <c r="M130" s="16"/>
      <c r="N130" s="16" t="s">
        <v>1396</v>
      </c>
    </row>
    <row r="131" customFormat="false" ht="23.25" hidden="false" customHeight="true" outlineLevel="0" collapsed="false">
      <c r="A131" s="16" t="n">
        <v>4</v>
      </c>
      <c r="B131" s="16" t="s">
        <v>78</v>
      </c>
      <c r="C131" s="16" t="s">
        <v>1397</v>
      </c>
      <c r="D131" s="16" t="s">
        <v>1398</v>
      </c>
      <c r="E131" s="16" t="s">
        <v>1399</v>
      </c>
      <c r="F131" s="16" t="s">
        <v>1400</v>
      </c>
      <c r="G131" s="16" t="s">
        <v>71</v>
      </c>
      <c r="H131" s="16"/>
      <c r="I131" s="16" t="s">
        <v>859</v>
      </c>
      <c r="J131" s="16"/>
      <c r="K131" s="16" t="s">
        <v>72</v>
      </c>
      <c r="L131" s="16"/>
      <c r="M131" s="16"/>
      <c r="N131" s="16" t="s">
        <v>1401</v>
      </c>
    </row>
    <row r="132" customFormat="false" ht="23.25" hidden="false" customHeight="true" outlineLevel="0" collapsed="false">
      <c r="A132" s="16" t="n">
        <v>4</v>
      </c>
      <c r="B132" s="16" t="s">
        <v>78</v>
      </c>
      <c r="C132" s="16" t="s">
        <v>1402</v>
      </c>
      <c r="D132" s="16" t="s">
        <v>1403</v>
      </c>
      <c r="E132" s="16" t="s">
        <v>1404</v>
      </c>
      <c r="F132" s="16" t="s">
        <v>1405</v>
      </c>
      <c r="G132" s="16" t="s">
        <v>71</v>
      </c>
      <c r="H132" s="16"/>
      <c r="I132" s="16" t="s">
        <v>859</v>
      </c>
      <c r="J132" s="16"/>
      <c r="K132" s="16" t="s">
        <v>72</v>
      </c>
      <c r="L132" s="16"/>
      <c r="M132" s="16"/>
      <c r="N132" s="16" t="s">
        <v>1406</v>
      </c>
    </row>
    <row r="133" customFormat="false" ht="34.5" hidden="false" customHeight="true" outlineLevel="0" collapsed="false">
      <c r="A133" s="16" t="n">
        <v>4</v>
      </c>
      <c r="B133" s="16" t="s">
        <v>78</v>
      </c>
      <c r="C133" s="16" t="s">
        <v>1407</v>
      </c>
      <c r="D133" s="16" t="s">
        <v>1408</v>
      </c>
      <c r="E133" s="16" t="s">
        <v>614</v>
      </c>
      <c r="F133" s="16" t="s">
        <v>1409</v>
      </c>
      <c r="G133" s="16" t="s">
        <v>71</v>
      </c>
      <c r="H133" s="16"/>
      <c r="I133" s="16" t="s">
        <v>859</v>
      </c>
      <c r="J133" s="16"/>
      <c r="K133" s="16" t="s">
        <v>72</v>
      </c>
      <c r="L133" s="16"/>
      <c r="M133" s="16"/>
      <c r="N133" s="16" t="s">
        <v>1410</v>
      </c>
    </row>
    <row r="134" customFormat="false" ht="23.25" hidden="false" customHeight="true" outlineLevel="0" collapsed="false">
      <c r="A134" s="16" t="n">
        <v>4</v>
      </c>
      <c r="B134" s="16" t="s">
        <v>78</v>
      </c>
      <c r="C134" s="16" t="s">
        <v>1411</v>
      </c>
      <c r="D134" s="16" t="s">
        <v>1412</v>
      </c>
      <c r="E134" s="16" t="s">
        <v>683</v>
      </c>
      <c r="F134" s="16" t="s">
        <v>1413</v>
      </c>
      <c r="G134" s="16" t="s">
        <v>71</v>
      </c>
      <c r="H134" s="16"/>
      <c r="I134" s="16" t="s">
        <v>859</v>
      </c>
      <c r="J134" s="16"/>
      <c r="K134" s="16" t="s">
        <v>72</v>
      </c>
      <c r="L134" s="16"/>
      <c r="M134" s="16"/>
      <c r="N134" s="16" t="s">
        <v>1414</v>
      </c>
    </row>
    <row r="135" customFormat="false" ht="23.25" hidden="false" customHeight="true" outlineLevel="0" collapsed="false">
      <c r="A135" s="16" t="n">
        <v>4</v>
      </c>
      <c r="B135" s="16" t="s">
        <v>78</v>
      </c>
      <c r="C135" s="16" t="s">
        <v>1415</v>
      </c>
      <c r="D135" s="16" t="s">
        <v>1416</v>
      </c>
      <c r="E135" s="16" t="s">
        <v>683</v>
      </c>
      <c r="F135" s="16" t="s">
        <v>1417</v>
      </c>
      <c r="G135" s="16" t="s">
        <v>71</v>
      </c>
      <c r="H135" s="16"/>
      <c r="I135" s="16" t="s">
        <v>859</v>
      </c>
      <c r="J135" s="16"/>
      <c r="K135" s="16" t="s">
        <v>72</v>
      </c>
      <c r="L135" s="16"/>
      <c r="M135" s="16"/>
      <c r="N135" s="16" t="s">
        <v>1418</v>
      </c>
    </row>
  </sheetData>
  <mergeCells count="2">
    <mergeCell ref="A1:N1"/>
    <mergeCell ref="A2:N2"/>
  </mergeCells>
  <dataValidations count="2">
    <dataValidation allowBlank="true" errorStyle="stop" operator="between" showDropDown="false" showErrorMessage="false" showInputMessage="false" sqref="G5:G1023 K5:K1023" type="list">
      <formula1>"Y,N"</formula1>
      <formula2>0</formula2>
    </dataValidation>
    <dataValidation allowBlank="true" errorStyle="stop" operator="between" showDropDown="false" showErrorMessage="false" showInputMessage="false" sqref="I5:I1023" type="list">
      <formula1>"Pending,Accepted,Declined"</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P1023"/>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1" width="12"/>
    <col collapsed="false" customWidth="true" hidden="false" outlineLevel="0" max="2" min="2" style="1" width="22"/>
    <col collapsed="false" customWidth="true" hidden="false" outlineLevel="0" max="3" min="3" style="1" width="10"/>
    <col collapsed="false" customWidth="true" hidden="false" outlineLevel="0" max="4" min="4" style="1" width="24"/>
    <col collapsed="false" customWidth="true" hidden="false" outlineLevel="0" max="5" min="5" style="1" width="26"/>
    <col collapsed="false" customWidth="true" hidden="false" outlineLevel="0" max="6" min="6" style="1" width="34"/>
    <col collapsed="false" customWidth="true" hidden="false" outlineLevel="0" max="7" min="7" style="1" width="10"/>
    <col collapsed="false" customWidth="true" hidden="false" outlineLevel="0" max="14" min="8" style="1" width="12"/>
    <col collapsed="false" customWidth="true" hidden="false" outlineLevel="0" max="15" min="15" style="1" width="14"/>
    <col collapsed="false" customWidth="true" hidden="false" outlineLevel="0" max="16" min="16" style="1" width="30"/>
  </cols>
  <sheetData>
    <row r="1" customFormat="false" ht="19.5" hidden="false" customHeight="true" outlineLevel="0" collapsed="false">
      <c r="A1" s="2" t="s">
        <v>1419</v>
      </c>
      <c r="B1" s="2"/>
      <c r="C1" s="2"/>
      <c r="D1" s="2"/>
      <c r="E1" s="2"/>
      <c r="F1" s="2"/>
      <c r="G1" s="2"/>
      <c r="H1" s="2"/>
      <c r="I1" s="2"/>
      <c r="J1" s="2"/>
      <c r="K1" s="2"/>
      <c r="L1" s="2"/>
      <c r="M1" s="2"/>
      <c r="N1" s="2"/>
      <c r="O1" s="2"/>
      <c r="P1" s="2"/>
    </row>
    <row r="2" customFormat="false" ht="13.5" hidden="false" customHeight="true" outlineLevel="0" collapsed="false">
      <c r="A2" s="3" t="s">
        <v>1420</v>
      </c>
      <c r="B2" s="3"/>
      <c r="C2" s="3"/>
      <c r="D2" s="3"/>
      <c r="E2" s="3"/>
      <c r="F2" s="3"/>
      <c r="G2" s="3"/>
      <c r="H2" s="3"/>
      <c r="I2" s="3"/>
      <c r="J2" s="3"/>
      <c r="K2" s="3"/>
      <c r="L2" s="3"/>
      <c r="M2" s="3"/>
      <c r="N2" s="3"/>
      <c r="O2" s="3"/>
      <c r="P2" s="3"/>
    </row>
    <row r="3" customFormat="false" ht="33.75" hidden="false" customHeight="true" outlineLevel="0" collapsed="false">
      <c r="A3" s="13" t="s">
        <v>1421</v>
      </c>
      <c r="B3" s="13" t="s">
        <v>46</v>
      </c>
      <c r="C3" s="13" t="s">
        <v>1422</v>
      </c>
      <c r="D3" s="13" t="s">
        <v>1423</v>
      </c>
      <c r="E3" s="13" t="s">
        <v>1424</v>
      </c>
      <c r="F3" s="13" t="s">
        <v>1425</v>
      </c>
      <c r="G3" s="13" t="s">
        <v>1426</v>
      </c>
      <c r="H3" s="13" t="s">
        <v>1427</v>
      </c>
      <c r="I3" s="13" t="s">
        <v>854</v>
      </c>
      <c r="J3" s="13" t="s">
        <v>1428</v>
      </c>
      <c r="K3" s="13" t="s">
        <v>1429</v>
      </c>
      <c r="L3" s="13" t="s">
        <v>1430</v>
      </c>
      <c r="M3" s="13" t="s">
        <v>1431</v>
      </c>
      <c r="N3" s="13" t="s">
        <v>1432</v>
      </c>
      <c r="O3" s="13" t="s">
        <v>60</v>
      </c>
      <c r="P3" s="13" t="s">
        <v>66</v>
      </c>
    </row>
    <row r="4" customFormat="false" ht="15" hidden="false" customHeight="true" outlineLevel="0" collapsed="false">
      <c r="A4" s="18" t="s">
        <v>84</v>
      </c>
      <c r="B4" s="18" t="s">
        <v>80</v>
      </c>
      <c r="C4" s="18" t="s">
        <v>77</v>
      </c>
      <c r="D4" s="18" t="s">
        <v>83</v>
      </c>
      <c r="E4" s="18"/>
      <c r="F4" s="18" t="s">
        <v>1433</v>
      </c>
      <c r="G4" s="18" t="s">
        <v>72</v>
      </c>
      <c r="H4" s="18" t="s">
        <v>71</v>
      </c>
      <c r="I4" s="18" t="s">
        <v>91</v>
      </c>
      <c r="J4" s="18" t="s">
        <v>72</v>
      </c>
      <c r="K4" s="18" t="s">
        <v>72</v>
      </c>
      <c r="L4" s="18" t="s">
        <v>72</v>
      </c>
      <c r="M4" s="18" t="s">
        <v>72</v>
      </c>
      <c r="N4" s="18"/>
      <c r="O4" s="18" t="s">
        <v>21</v>
      </c>
      <c r="P4" s="18" t="s">
        <v>1434</v>
      </c>
    </row>
    <row r="5" customFormat="false" ht="15" hidden="false" customHeight="true" outlineLevel="0" collapsed="false">
      <c r="A5" s="16" t="s">
        <v>84</v>
      </c>
      <c r="B5" s="16" t="s">
        <v>86</v>
      </c>
      <c r="C5" s="16" t="s">
        <v>77</v>
      </c>
      <c r="D5" s="16" t="s">
        <v>1435</v>
      </c>
      <c r="E5" s="16" t="s">
        <v>87</v>
      </c>
      <c r="F5" s="16" t="s">
        <v>1436</v>
      </c>
      <c r="G5" s="16" t="s">
        <v>72</v>
      </c>
      <c r="H5" s="16" t="s">
        <v>71</v>
      </c>
      <c r="I5" s="16" t="s">
        <v>91</v>
      </c>
      <c r="J5" s="16" t="s">
        <v>72</v>
      </c>
      <c r="K5" s="16" t="s">
        <v>72</v>
      </c>
      <c r="L5" s="16" t="s">
        <v>72</v>
      </c>
      <c r="M5" s="16" t="s">
        <v>72</v>
      </c>
      <c r="N5" s="16"/>
      <c r="O5" s="16" t="s">
        <v>21</v>
      </c>
      <c r="P5" s="16" t="s">
        <v>1437</v>
      </c>
    </row>
    <row r="6" customFormat="false" ht="15" hidden="false" customHeight="true" outlineLevel="0" collapsed="false">
      <c r="A6" s="16" t="s">
        <v>91</v>
      </c>
      <c r="B6" s="16" t="s">
        <v>89</v>
      </c>
      <c r="C6" s="16" t="s">
        <v>77</v>
      </c>
      <c r="D6" s="16" t="s">
        <v>1435</v>
      </c>
      <c r="E6" s="16" t="s">
        <v>90</v>
      </c>
      <c r="F6" s="16" t="s">
        <v>1438</v>
      </c>
      <c r="G6" s="16" t="s">
        <v>71</v>
      </c>
      <c r="H6" s="16" t="s">
        <v>72</v>
      </c>
      <c r="I6" s="16"/>
      <c r="J6" s="16" t="s">
        <v>72</v>
      </c>
      <c r="K6" s="16" t="s">
        <v>72</v>
      </c>
      <c r="L6" s="16" t="s">
        <v>72</v>
      </c>
      <c r="M6" s="16" t="s">
        <v>72</v>
      </c>
      <c r="N6" s="16"/>
      <c r="O6" s="16" t="s">
        <v>105</v>
      </c>
      <c r="P6" s="16" t="s">
        <v>1439</v>
      </c>
    </row>
    <row r="7" customFormat="false" ht="15" hidden="false" customHeight="true" outlineLevel="0" collapsed="false">
      <c r="A7" s="16" t="s">
        <v>91</v>
      </c>
      <c r="B7" s="16" t="s">
        <v>93</v>
      </c>
      <c r="C7" s="16" t="s">
        <v>77</v>
      </c>
      <c r="D7" s="16" t="s">
        <v>94</v>
      </c>
      <c r="E7" s="16" t="s">
        <v>95</v>
      </c>
      <c r="F7" s="16" t="s">
        <v>1440</v>
      </c>
      <c r="G7" s="16" t="s">
        <v>71</v>
      </c>
      <c r="H7" s="16" t="s">
        <v>72</v>
      </c>
      <c r="I7" s="16"/>
      <c r="J7" s="16" t="s">
        <v>72</v>
      </c>
      <c r="K7" s="16" t="s">
        <v>72</v>
      </c>
      <c r="L7" s="16" t="s">
        <v>72</v>
      </c>
      <c r="M7" s="16" t="s">
        <v>72</v>
      </c>
      <c r="N7" s="16"/>
      <c r="O7" s="16" t="s">
        <v>105</v>
      </c>
      <c r="P7" s="16" t="s">
        <v>1441</v>
      </c>
    </row>
    <row r="8" customFormat="false" ht="15" hidden="false" customHeight="true" outlineLevel="0" collapsed="false">
      <c r="A8" s="16" t="s">
        <v>91</v>
      </c>
      <c r="B8" s="16" t="s">
        <v>97</v>
      </c>
      <c r="C8" s="16" t="s">
        <v>77</v>
      </c>
      <c r="D8" s="16" t="s">
        <v>1435</v>
      </c>
      <c r="E8" s="16" t="s">
        <v>98</v>
      </c>
      <c r="F8" s="16" t="s">
        <v>1442</v>
      </c>
      <c r="G8" s="16" t="s">
        <v>72</v>
      </c>
      <c r="H8" s="16" t="s">
        <v>71</v>
      </c>
      <c r="I8" s="16" t="s">
        <v>91</v>
      </c>
      <c r="J8" s="16" t="s">
        <v>72</v>
      </c>
      <c r="K8" s="16" t="s">
        <v>72</v>
      </c>
      <c r="L8" s="16" t="s">
        <v>72</v>
      </c>
      <c r="M8" s="16" t="s">
        <v>72</v>
      </c>
      <c r="N8" s="16"/>
      <c r="O8" s="16" t="s">
        <v>20</v>
      </c>
      <c r="P8" s="16" t="s">
        <v>1443</v>
      </c>
    </row>
    <row r="9" customFormat="false" ht="15" hidden="false" customHeight="true" outlineLevel="0" collapsed="false">
      <c r="A9" s="16" t="s">
        <v>91</v>
      </c>
      <c r="B9" s="16" t="s">
        <v>100</v>
      </c>
      <c r="C9" s="16" t="s">
        <v>77</v>
      </c>
      <c r="D9" s="16" t="s">
        <v>1435</v>
      </c>
      <c r="E9" s="16" t="s">
        <v>101</v>
      </c>
      <c r="F9" s="16" t="s">
        <v>1444</v>
      </c>
      <c r="G9" s="16" t="s">
        <v>72</v>
      </c>
      <c r="H9" s="16" t="s">
        <v>71</v>
      </c>
      <c r="I9" s="16" t="s">
        <v>91</v>
      </c>
      <c r="J9" s="16" t="s">
        <v>72</v>
      </c>
      <c r="K9" s="16" t="s">
        <v>72</v>
      </c>
      <c r="L9" s="16" t="s">
        <v>72</v>
      </c>
      <c r="M9" s="16" t="s">
        <v>72</v>
      </c>
      <c r="N9" s="16"/>
      <c r="O9" s="16" t="s">
        <v>20</v>
      </c>
      <c r="P9" s="16" t="s">
        <v>1445</v>
      </c>
    </row>
    <row r="10" customFormat="false" ht="15" hidden="false" customHeight="true" outlineLevel="0" collapsed="false">
      <c r="A10" s="16" t="s">
        <v>91</v>
      </c>
      <c r="B10" s="16" t="s">
        <v>103</v>
      </c>
      <c r="C10" s="16" t="s">
        <v>77</v>
      </c>
      <c r="D10" s="16" t="s">
        <v>104</v>
      </c>
      <c r="E10" s="16"/>
      <c r="F10" s="16" t="s">
        <v>1446</v>
      </c>
      <c r="G10" s="16" t="s">
        <v>71</v>
      </c>
      <c r="H10" s="16" t="s">
        <v>72</v>
      </c>
      <c r="I10" s="16"/>
      <c r="J10" s="16" t="s">
        <v>72</v>
      </c>
      <c r="K10" s="16" t="s">
        <v>72</v>
      </c>
      <c r="L10" s="16" t="s">
        <v>72</v>
      </c>
      <c r="M10" s="16" t="s">
        <v>72</v>
      </c>
      <c r="N10" s="16"/>
      <c r="O10" s="16" t="s">
        <v>105</v>
      </c>
      <c r="P10" s="16" t="s">
        <v>1447</v>
      </c>
    </row>
    <row r="11" customFormat="false" ht="15" hidden="false" customHeight="true" outlineLevel="0" collapsed="false">
      <c r="A11" s="16" t="s">
        <v>91</v>
      </c>
      <c r="B11" s="16" t="s">
        <v>107</v>
      </c>
      <c r="C11" s="16" t="s">
        <v>77</v>
      </c>
      <c r="D11" s="16" t="s">
        <v>1435</v>
      </c>
      <c r="E11" s="16" t="s">
        <v>108</v>
      </c>
      <c r="F11" s="16" t="s">
        <v>1448</v>
      </c>
      <c r="G11" s="16" t="s">
        <v>72</v>
      </c>
      <c r="H11" s="16" t="s">
        <v>72</v>
      </c>
      <c r="I11" s="16"/>
      <c r="J11" s="16" t="s">
        <v>72</v>
      </c>
      <c r="K11" s="16" t="s">
        <v>72</v>
      </c>
      <c r="L11" s="16" t="s">
        <v>72</v>
      </c>
      <c r="M11" s="16" t="s">
        <v>72</v>
      </c>
      <c r="N11" s="16"/>
      <c r="O11" s="16" t="s">
        <v>20</v>
      </c>
      <c r="P11" s="16" t="s">
        <v>1449</v>
      </c>
    </row>
    <row r="12" customFormat="false" ht="15" hidden="false" customHeight="true" outlineLevel="0" collapsed="false">
      <c r="A12" s="16" t="s">
        <v>91</v>
      </c>
      <c r="B12" s="16" t="s">
        <v>110</v>
      </c>
      <c r="C12" s="16" t="s">
        <v>77</v>
      </c>
      <c r="D12" s="16" t="s">
        <v>1435</v>
      </c>
      <c r="E12" s="16" t="s">
        <v>111</v>
      </c>
      <c r="F12" s="16" t="s">
        <v>1450</v>
      </c>
      <c r="G12" s="16" t="s">
        <v>72</v>
      </c>
      <c r="H12" s="16" t="s">
        <v>72</v>
      </c>
      <c r="I12" s="16"/>
      <c r="J12" s="16" t="s">
        <v>72</v>
      </c>
      <c r="K12" s="16" t="s">
        <v>72</v>
      </c>
      <c r="L12" s="16" t="s">
        <v>72</v>
      </c>
      <c r="M12" s="16" t="s">
        <v>72</v>
      </c>
      <c r="N12" s="16"/>
      <c r="O12" s="16" t="s">
        <v>20</v>
      </c>
      <c r="P12" s="16" t="s">
        <v>1449</v>
      </c>
    </row>
    <row r="13" customFormat="false" ht="15" hidden="false" customHeight="true" outlineLevel="0" collapsed="false">
      <c r="A13" s="16" t="s">
        <v>91</v>
      </c>
      <c r="B13" s="16" t="s">
        <v>112</v>
      </c>
      <c r="C13" s="16" t="s">
        <v>77</v>
      </c>
      <c r="D13" s="16" t="s">
        <v>1435</v>
      </c>
      <c r="E13" s="16" t="s">
        <v>113</v>
      </c>
      <c r="F13" s="16" t="s">
        <v>1451</v>
      </c>
      <c r="G13" s="16" t="s">
        <v>72</v>
      </c>
      <c r="H13" s="16" t="s">
        <v>72</v>
      </c>
      <c r="I13" s="16"/>
      <c r="J13" s="16" t="s">
        <v>72</v>
      </c>
      <c r="K13" s="16" t="s">
        <v>72</v>
      </c>
      <c r="L13" s="16" t="s">
        <v>72</v>
      </c>
      <c r="M13" s="16" t="s">
        <v>72</v>
      </c>
      <c r="N13" s="16"/>
      <c r="O13" s="16" t="s">
        <v>20</v>
      </c>
      <c r="P13" s="16" t="s">
        <v>1449</v>
      </c>
    </row>
    <row r="14" customFormat="false" ht="15" hidden="false" customHeight="true" outlineLevel="0" collapsed="false">
      <c r="A14" s="16" t="s">
        <v>78</v>
      </c>
      <c r="B14" s="16" t="s">
        <v>67</v>
      </c>
      <c r="C14" s="16" t="s">
        <v>77</v>
      </c>
      <c r="D14" s="16" t="s">
        <v>74</v>
      </c>
      <c r="E14" s="16" t="s">
        <v>75</v>
      </c>
      <c r="F14" s="16" t="s">
        <v>1452</v>
      </c>
      <c r="G14" s="16" t="s">
        <v>72</v>
      </c>
      <c r="H14" s="16" t="s">
        <v>72</v>
      </c>
      <c r="I14" s="16"/>
      <c r="J14" s="16" t="s">
        <v>72</v>
      </c>
      <c r="K14" s="16" t="s">
        <v>72</v>
      </c>
      <c r="L14" s="16" t="s">
        <v>72</v>
      </c>
      <c r="M14" s="16" t="s">
        <v>72</v>
      </c>
      <c r="N14" s="16"/>
      <c r="O14" s="16" t="s">
        <v>20</v>
      </c>
      <c r="P14" s="16" t="s">
        <v>1453</v>
      </c>
    </row>
    <row r="15" customFormat="false" ht="15" hidden="false" customHeight="true" outlineLevel="0" collapsed="false">
      <c r="A15" s="16" t="s">
        <v>78</v>
      </c>
      <c r="B15" s="16" t="s">
        <v>114</v>
      </c>
      <c r="C15" s="16" t="s">
        <v>77</v>
      </c>
      <c r="D15" s="16" t="s">
        <v>74</v>
      </c>
      <c r="E15" s="16" t="s">
        <v>75</v>
      </c>
      <c r="F15" s="16" t="s">
        <v>1454</v>
      </c>
      <c r="G15" s="16" t="s">
        <v>72</v>
      </c>
      <c r="H15" s="16" t="s">
        <v>72</v>
      </c>
      <c r="I15" s="16"/>
      <c r="J15" s="16" t="s">
        <v>72</v>
      </c>
      <c r="K15" s="16" t="s">
        <v>72</v>
      </c>
      <c r="L15" s="16" t="s">
        <v>72</v>
      </c>
      <c r="M15" s="16" t="s">
        <v>72</v>
      </c>
      <c r="N15" s="16"/>
      <c r="O15" s="16" t="s">
        <v>20</v>
      </c>
      <c r="P15" s="16" t="s">
        <v>117</v>
      </c>
    </row>
    <row r="16" customFormat="false" ht="15" hidden="false" customHeight="true" outlineLevel="0" collapsed="false">
      <c r="A16" s="16" t="s">
        <v>78</v>
      </c>
      <c r="B16" s="16" t="s">
        <v>118</v>
      </c>
      <c r="C16" s="16" t="s">
        <v>77</v>
      </c>
      <c r="D16" s="16" t="s">
        <v>120</v>
      </c>
      <c r="E16" s="16"/>
      <c r="F16" s="16" t="s">
        <v>1455</v>
      </c>
      <c r="G16" s="16" t="s">
        <v>72</v>
      </c>
      <c r="H16" s="16" t="s">
        <v>72</v>
      </c>
      <c r="I16" s="16"/>
      <c r="J16" s="16" t="s">
        <v>72</v>
      </c>
      <c r="K16" s="16" t="s">
        <v>72</v>
      </c>
      <c r="L16" s="16" t="s">
        <v>72</v>
      </c>
      <c r="M16" s="16" t="s">
        <v>72</v>
      </c>
      <c r="N16" s="16"/>
      <c r="O16" s="16" t="s">
        <v>20</v>
      </c>
      <c r="P16" s="16" t="s">
        <v>117</v>
      </c>
    </row>
    <row r="17" customFormat="false" ht="15" hidden="false" customHeight="true" outlineLevel="0" collapsed="false">
      <c r="A17" s="16" t="s">
        <v>78</v>
      </c>
      <c r="B17" s="16" t="s">
        <v>121</v>
      </c>
      <c r="C17" s="16" t="s">
        <v>77</v>
      </c>
      <c r="D17" s="16" t="s">
        <v>124</v>
      </c>
      <c r="E17" s="16"/>
      <c r="F17" s="16" t="s">
        <v>1456</v>
      </c>
      <c r="G17" s="16" t="s">
        <v>72</v>
      </c>
      <c r="H17" s="16" t="s">
        <v>72</v>
      </c>
      <c r="I17" s="16"/>
      <c r="J17" s="16" t="s">
        <v>72</v>
      </c>
      <c r="K17" s="16" t="s">
        <v>72</v>
      </c>
      <c r="L17" s="16" t="s">
        <v>72</v>
      </c>
      <c r="M17" s="16" t="s">
        <v>72</v>
      </c>
      <c r="N17" s="16"/>
      <c r="O17" s="16" t="s">
        <v>20</v>
      </c>
      <c r="P17" s="16" t="s">
        <v>117</v>
      </c>
    </row>
    <row r="18" customFormat="false" ht="15" hidden="false" customHeight="true" outlineLevel="0" collapsed="false">
      <c r="A18" s="16" t="s">
        <v>78</v>
      </c>
      <c r="B18" s="16" t="s">
        <v>125</v>
      </c>
      <c r="C18" s="16" t="s">
        <v>77</v>
      </c>
      <c r="D18" s="16" t="s">
        <v>128</v>
      </c>
      <c r="E18" s="16"/>
      <c r="F18" s="16" t="s">
        <v>1457</v>
      </c>
      <c r="G18" s="16" t="s">
        <v>72</v>
      </c>
      <c r="H18" s="16" t="s">
        <v>72</v>
      </c>
      <c r="I18" s="16"/>
      <c r="J18" s="16" t="s">
        <v>72</v>
      </c>
      <c r="K18" s="16" t="s">
        <v>72</v>
      </c>
      <c r="L18" s="16" t="s">
        <v>72</v>
      </c>
      <c r="M18" s="16" t="s">
        <v>72</v>
      </c>
      <c r="N18" s="16"/>
      <c r="O18" s="16" t="s">
        <v>20</v>
      </c>
      <c r="P18" s="16" t="s">
        <v>117</v>
      </c>
    </row>
    <row r="19" customFormat="false" ht="15" hidden="false" customHeight="true" outlineLevel="0" collapsed="false">
      <c r="A19" s="16" t="s">
        <v>78</v>
      </c>
      <c r="B19" s="16" t="s">
        <v>129</v>
      </c>
      <c r="C19" s="16" t="s">
        <v>77</v>
      </c>
      <c r="D19" s="16" t="s">
        <v>132</v>
      </c>
      <c r="E19" s="16" t="s">
        <v>133</v>
      </c>
      <c r="F19" s="16" t="s">
        <v>1458</v>
      </c>
      <c r="G19" s="16" t="s">
        <v>72</v>
      </c>
      <c r="H19" s="16" t="s">
        <v>72</v>
      </c>
      <c r="I19" s="16"/>
      <c r="J19" s="16" t="s">
        <v>72</v>
      </c>
      <c r="K19" s="16" t="s">
        <v>72</v>
      </c>
      <c r="L19" s="16" t="s">
        <v>72</v>
      </c>
      <c r="M19" s="16" t="s">
        <v>72</v>
      </c>
      <c r="N19" s="16"/>
      <c r="O19" s="16" t="s">
        <v>20</v>
      </c>
      <c r="P19" s="16" t="s">
        <v>117</v>
      </c>
    </row>
    <row r="20" customFormat="false" ht="15" hidden="false" customHeight="true" outlineLevel="0" collapsed="false">
      <c r="A20" s="16" t="s">
        <v>78</v>
      </c>
      <c r="B20" s="16" t="s">
        <v>134</v>
      </c>
      <c r="C20" s="16" t="s">
        <v>77</v>
      </c>
      <c r="D20" s="16" t="s">
        <v>137</v>
      </c>
      <c r="E20" s="16"/>
      <c r="F20" s="16" t="s">
        <v>1459</v>
      </c>
      <c r="G20" s="16" t="s">
        <v>72</v>
      </c>
      <c r="H20" s="16" t="s">
        <v>72</v>
      </c>
      <c r="I20" s="16"/>
      <c r="J20" s="16" t="s">
        <v>72</v>
      </c>
      <c r="K20" s="16" t="s">
        <v>72</v>
      </c>
      <c r="L20" s="16" t="s">
        <v>72</v>
      </c>
      <c r="M20" s="16" t="s">
        <v>72</v>
      </c>
      <c r="N20" s="16"/>
      <c r="O20" s="16" t="s">
        <v>20</v>
      </c>
      <c r="P20" s="16" t="s">
        <v>117</v>
      </c>
    </row>
    <row r="21" customFormat="false" ht="15" hidden="false" customHeight="true" outlineLevel="0" collapsed="false">
      <c r="A21" s="16" t="s">
        <v>78</v>
      </c>
      <c r="B21" s="16" t="s">
        <v>138</v>
      </c>
      <c r="C21" s="16" t="s">
        <v>77</v>
      </c>
      <c r="D21" s="16" t="s">
        <v>140</v>
      </c>
      <c r="E21" s="16"/>
      <c r="F21" s="16" t="s">
        <v>1460</v>
      </c>
      <c r="G21" s="16" t="s">
        <v>72</v>
      </c>
      <c r="H21" s="16" t="s">
        <v>72</v>
      </c>
      <c r="I21" s="16"/>
      <c r="J21" s="16" t="s">
        <v>72</v>
      </c>
      <c r="K21" s="16" t="s">
        <v>72</v>
      </c>
      <c r="L21" s="16" t="s">
        <v>72</v>
      </c>
      <c r="M21" s="16" t="s">
        <v>72</v>
      </c>
      <c r="N21" s="16"/>
      <c r="O21" s="16" t="s">
        <v>20</v>
      </c>
      <c r="P21" s="16" t="s">
        <v>117</v>
      </c>
    </row>
    <row r="22" customFormat="false" ht="15" hidden="false" customHeight="true" outlineLevel="0" collapsed="false">
      <c r="A22" s="16" t="s">
        <v>78</v>
      </c>
      <c r="B22" s="16" t="s">
        <v>141</v>
      </c>
      <c r="C22" s="16" t="s">
        <v>77</v>
      </c>
      <c r="D22" s="16" t="s">
        <v>143</v>
      </c>
      <c r="E22" s="16"/>
      <c r="F22" s="16" t="s">
        <v>1461</v>
      </c>
      <c r="G22" s="16" t="s">
        <v>72</v>
      </c>
      <c r="H22" s="16" t="s">
        <v>72</v>
      </c>
      <c r="I22" s="16"/>
      <c r="J22" s="16" t="s">
        <v>72</v>
      </c>
      <c r="K22" s="16" t="s">
        <v>72</v>
      </c>
      <c r="L22" s="16" t="s">
        <v>72</v>
      </c>
      <c r="M22" s="16" t="s">
        <v>72</v>
      </c>
      <c r="N22" s="16"/>
      <c r="O22" s="16" t="s">
        <v>20</v>
      </c>
      <c r="P22" s="16" t="s">
        <v>117</v>
      </c>
    </row>
    <row r="23" customFormat="false" ht="15" hidden="false" customHeight="true" outlineLevel="0" collapsed="false">
      <c r="A23" s="16" t="s">
        <v>78</v>
      </c>
      <c r="B23" s="16" t="s">
        <v>144</v>
      </c>
      <c r="C23" s="16" t="s">
        <v>77</v>
      </c>
      <c r="D23" s="16" t="s">
        <v>147</v>
      </c>
      <c r="E23" s="16" t="s">
        <v>148</v>
      </c>
      <c r="F23" s="16" t="s">
        <v>1462</v>
      </c>
      <c r="G23" s="16" t="s">
        <v>72</v>
      </c>
      <c r="H23" s="16" t="s">
        <v>72</v>
      </c>
      <c r="I23" s="16"/>
      <c r="J23" s="16" t="s">
        <v>72</v>
      </c>
      <c r="K23" s="16" t="s">
        <v>72</v>
      </c>
      <c r="L23" s="16" t="s">
        <v>72</v>
      </c>
      <c r="M23" s="16" t="s">
        <v>72</v>
      </c>
      <c r="N23" s="16"/>
      <c r="O23" s="16" t="s">
        <v>20</v>
      </c>
      <c r="P23" s="16" t="s">
        <v>117</v>
      </c>
    </row>
    <row r="24" customFormat="false" ht="15" hidden="false" customHeight="true" outlineLevel="0" collapsed="false">
      <c r="A24" s="16" t="s">
        <v>78</v>
      </c>
      <c r="B24" s="16" t="s">
        <v>149</v>
      </c>
      <c r="C24" s="16" t="s">
        <v>77</v>
      </c>
      <c r="D24" s="16" t="s">
        <v>152</v>
      </c>
      <c r="E24" s="16"/>
      <c r="F24" s="16" t="s">
        <v>1463</v>
      </c>
      <c r="G24" s="16" t="s">
        <v>72</v>
      </c>
      <c r="H24" s="16" t="s">
        <v>72</v>
      </c>
      <c r="I24" s="16"/>
      <c r="J24" s="16" t="s">
        <v>72</v>
      </c>
      <c r="K24" s="16" t="s">
        <v>72</v>
      </c>
      <c r="L24" s="16" t="s">
        <v>72</v>
      </c>
      <c r="M24" s="16" t="s">
        <v>72</v>
      </c>
      <c r="N24" s="16"/>
      <c r="O24" s="16" t="s">
        <v>20</v>
      </c>
      <c r="P24" s="16" t="s">
        <v>117</v>
      </c>
    </row>
    <row r="25" customFormat="false" ht="15" hidden="false" customHeight="true" outlineLevel="0" collapsed="false">
      <c r="A25" s="16" t="s">
        <v>78</v>
      </c>
      <c r="B25" s="16" t="s">
        <v>153</v>
      </c>
      <c r="C25" s="16" t="s">
        <v>77</v>
      </c>
      <c r="D25" s="16" t="s">
        <v>156</v>
      </c>
      <c r="E25" s="16"/>
      <c r="F25" s="16" t="s">
        <v>1464</v>
      </c>
      <c r="G25" s="16" t="s">
        <v>72</v>
      </c>
      <c r="H25" s="16" t="s">
        <v>72</v>
      </c>
      <c r="I25" s="16"/>
      <c r="J25" s="16" t="s">
        <v>72</v>
      </c>
      <c r="K25" s="16" t="s">
        <v>72</v>
      </c>
      <c r="L25" s="16" t="s">
        <v>72</v>
      </c>
      <c r="M25" s="16" t="s">
        <v>72</v>
      </c>
      <c r="N25" s="16"/>
      <c r="O25" s="16" t="s">
        <v>20</v>
      </c>
      <c r="P25" s="16" t="s">
        <v>117</v>
      </c>
    </row>
    <row r="26" customFormat="false" ht="15" hidden="false" customHeight="true" outlineLevel="0" collapsed="false">
      <c r="A26" s="16" t="s">
        <v>78</v>
      </c>
      <c r="B26" s="16" t="s">
        <v>157</v>
      </c>
      <c r="C26" s="16" t="s">
        <v>77</v>
      </c>
      <c r="D26" s="16" t="s">
        <v>159</v>
      </c>
      <c r="E26" s="16" t="s">
        <v>160</v>
      </c>
      <c r="F26" s="16" t="s">
        <v>1465</v>
      </c>
      <c r="G26" s="16" t="s">
        <v>72</v>
      </c>
      <c r="H26" s="16" t="s">
        <v>72</v>
      </c>
      <c r="I26" s="16"/>
      <c r="J26" s="16" t="s">
        <v>72</v>
      </c>
      <c r="K26" s="16" t="s">
        <v>72</v>
      </c>
      <c r="L26" s="16" t="s">
        <v>72</v>
      </c>
      <c r="M26" s="16" t="s">
        <v>72</v>
      </c>
      <c r="N26" s="16"/>
      <c r="O26" s="16" t="s">
        <v>20</v>
      </c>
      <c r="P26" s="16" t="s">
        <v>117</v>
      </c>
    </row>
    <row r="27" customFormat="false" ht="15" hidden="false" customHeight="true" outlineLevel="0" collapsed="false">
      <c r="A27" s="16" t="s">
        <v>78</v>
      </c>
      <c r="B27" s="16" t="s">
        <v>161</v>
      </c>
      <c r="C27" s="16" t="s">
        <v>77</v>
      </c>
      <c r="D27" s="16" t="s">
        <v>165</v>
      </c>
      <c r="E27" s="16"/>
      <c r="F27" s="16" t="s">
        <v>1466</v>
      </c>
      <c r="G27" s="16" t="s">
        <v>72</v>
      </c>
      <c r="H27" s="16" t="s">
        <v>72</v>
      </c>
      <c r="I27" s="16"/>
      <c r="J27" s="16" t="s">
        <v>72</v>
      </c>
      <c r="K27" s="16" t="s">
        <v>72</v>
      </c>
      <c r="L27" s="16" t="s">
        <v>72</v>
      </c>
      <c r="M27" s="16" t="s">
        <v>72</v>
      </c>
      <c r="N27" s="16"/>
      <c r="O27" s="16" t="s">
        <v>20</v>
      </c>
      <c r="P27" s="16" t="s">
        <v>117</v>
      </c>
    </row>
    <row r="28" customFormat="false" ht="15" hidden="false" customHeight="true" outlineLevel="0" collapsed="false">
      <c r="A28" s="16" t="s">
        <v>78</v>
      </c>
      <c r="B28" s="16" t="s">
        <v>166</v>
      </c>
      <c r="C28" s="16" t="s">
        <v>77</v>
      </c>
      <c r="D28" s="16" t="s">
        <v>169</v>
      </c>
      <c r="E28" s="16"/>
      <c r="F28" s="16" t="s">
        <v>1467</v>
      </c>
      <c r="G28" s="16" t="s">
        <v>72</v>
      </c>
      <c r="H28" s="16" t="s">
        <v>72</v>
      </c>
      <c r="I28" s="16"/>
      <c r="J28" s="16" t="s">
        <v>72</v>
      </c>
      <c r="K28" s="16" t="s">
        <v>72</v>
      </c>
      <c r="L28" s="16" t="s">
        <v>72</v>
      </c>
      <c r="M28" s="16" t="s">
        <v>72</v>
      </c>
      <c r="N28" s="16"/>
      <c r="O28" s="16" t="s">
        <v>20</v>
      </c>
      <c r="P28" s="16" t="s">
        <v>117</v>
      </c>
    </row>
    <row r="29" customFormat="false" ht="15" hidden="false" customHeight="true" outlineLevel="0" collapsed="false">
      <c r="A29" s="16" t="s">
        <v>78</v>
      </c>
      <c r="B29" s="16" t="s">
        <v>170</v>
      </c>
      <c r="C29" s="16" t="s">
        <v>77</v>
      </c>
      <c r="D29" s="16" t="s">
        <v>173</v>
      </c>
      <c r="E29" s="16"/>
      <c r="F29" s="16" t="s">
        <v>1468</v>
      </c>
      <c r="G29" s="16" t="s">
        <v>72</v>
      </c>
      <c r="H29" s="16" t="s">
        <v>72</v>
      </c>
      <c r="I29" s="16"/>
      <c r="J29" s="16" t="s">
        <v>72</v>
      </c>
      <c r="K29" s="16" t="s">
        <v>72</v>
      </c>
      <c r="L29" s="16" t="s">
        <v>72</v>
      </c>
      <c r="M29" s="16" t="s">
        <v>72</v>
      </c>
      <c r="N29" s="16"/>
      <c r="O29" s="16" t="s">
        <v>20</v>
      </c>
      <c r="P29" s="16" t="s">
        <v>117</v>
      </c>
    </row>
    <row r="30" customFormat="false" ht="15" hidden="false" customHeight="true" outlineLevel="0" collapsed="false">
      <c r="A30" s="16" t="s">
        <v>78</v>
      </c>
      <c r="B30" s="16" t="s">
        <v>174</v>
      </c>
      <c r="C30" s="16" t="s">
        <v>77</v>
      </c>
      <c r="D30" s="16" t="s">
        <v>177</v>
      </c>
      <c r="E30" s="16" t="s">
        <v>178</v>
      </c>
      <c r="F30" s="16" t="s">
        <v>1469</v>
      </c>
      <c r="G30" s="16" t="s">
        <v>72</v>
      </c>
      <c r="H30" s="16" t="s">
        <v>72</v>
      </c>
      <c r="I30" s="16"/>
      <c r="J30" s="16" t="s">
        <v>72</v>
      </c>
      <c r="K30" s="16" t="s">
        <v>72</v>
      </c>
      <c r="L30" s="16" t="s">
        <v>72</v>
      </c>
      <c r="M30" s="16" t="s">
        <v>72</v>
      </c>
      <c r="N30" s="16"/>
      <c r="O30" s="16" t="s">
        <v>20</v>
      </c>
      <c r="P30" s="16" t="s">
        <v>117</v>
      </c>
    </row>
    <row r="31" customFormat="false" ht="15" hidden="false" customHeight="true" outlineLevel="0" collapsed="false">
      <c r="A31" s="16" t="s">
        <v>78</v>
      </c>
      <c r="B31" s="16" t="s">
        <v>179</v>
      </c>
      <c r="C31" s="16" t="s">
        <v>77</v>
      </c>
      <c r="D31" s="16" t="s">
        <v>182</v>
      </c>
      <c r="E31" s="16"/>
      <c r="F31" s="16" t="s">
        <v>1470</v>
      </c>
      <c r="G31" s="16" t="s">
        <v>72</v>
      </c>
      <c r="H31" s="16" t="s">
        <v>72</v>
      </c>
      <c r="I31" s="16"/>
      <c r="J31" s="16" t="s">
        <v>72</v>
      </c>
      <c r="K31" s="16" t="s">
        <v>72</v>
      </c>
      <c r="L31" s="16" t="s">
        <v>72</v>
      </c>
      <c r="M31" s="16" t="s">
        <v>72</v>
      </c>
      <c r="N31" s="16"/>
      <c r="O31" s="16" t="s">
        <v>20</v>
      </c>
      <c r="P31" s="16" t="s">
        <v>117</v>
      </c>
    </row>
    <row r="32" customFormat="false" ht="15" hidden="false" customHeight="true" outlineLevel="0" collapsed="false">
      <c r="A32" s="16" t="s">
        <v>78</v>
      </c>
      <c r="B32" s="16" t="s">
        <v>183</v>
      </c>
      <c r="C32" s="16" t="s">
        <v>77</v>
      </c>
      <c r="D32" s="16" t="s">
        <v>186</v>
      </c>
      <c r="E32" s="16"/>
      <c r="F32" s="16" t="s">
        <v>1471</v>
      </c>
      <c r="G32" s="16" t="s">
        <v>72</v>
      </c>
      <c r="H32" s="16" t="s">
        <v>72</v>
      </c>
      <c r="I32" s="16"/>
      <c r="J32" s="16" t="s">
        <v>72</v>
      </c>
      <c r="K32" s="16" t="s">
        <v>72</v>
      </c>
      <c r="L32" s="16" t="s">
        <v>72</v>
      </c>
      <c r="M32" s="16" t="s">
        <v>72</v>
      </c>
      <c r="N32" s="16"/>
      <c r="O32" s="16" t="s">
        <v>20</v>
      </c>
      <c r="P32" s="16" t="s">
        <v>117</v>
      </c>
    </row>
    <row r="33" customFormat="false" ht="15" hidden="false" customHeight="true" outlineLevel="0" collapsed="false">
      <c r="A33" s="16" t="s">
        <v>78</v>
      </c>
      <c r="B33" s="16" t="s">
        <v>187</v>
      </c>
      <c r="C33" s="16" t="s">
        <v>77</v>
      </c>
      <c r="D33" s="16" t="s">
        <v>190</v>
      </c>
      <c r="E33" s="16"/>
      <c r="F33" s="16" t="s">
        <v>1472</v>
      </c>
      <c r="G33" s="16" t="s">
        <v>72</v>
      </c>
      <c r="H33" s="16" t="s">
        <v>72</v>
      </c>
      <c r="I33" s="16"/>
      <c r="J33" s="16" t="s">
        <v>72</v>
      </c>
      <c r="K33" s="16" t="s">
        <v>72</v>
      </c>
      <c r="L33" s="16" t="s">
        <v>72</v>
      </c>
      <c r="M33" s="16" t="s">
        <v>72</v>
      </c>
      <c r="N33" s="16"/>
      <c r="O33" s="16" t="s">
        <v>20</v>
      </c>
      <c r="P33" s="16" t="s">
        <v>117</v>
      </c>
    </row>
    <row r="34" customFormat="false" ht="15" hidden="false" customHeight="true" outlineLevel="0" collapsed="false">
      <c r="A34" s="16" t="s">
        <v>78</v>
      </c>
      <c r="B34" s="16" t="s">
        <v>191</v>
      </c>
      <c r="C34" s="16" t="s">
        <v>77</v>
      </c>
      <c r="D34" s="16" t="s">
        <v>194</v>
      </c>
      <c r="E34" s="16" t="s">
        <v>195</v>
      </c>
      <c r="F34" s="16" t="s">
        <v>1473</v>
      </c>
      <c r="G34" s="16" t="s">
        <v>72</v>
      </c>
      <c r="H34" s="16" t="s">
        <v>72</v>
      </c>
      <c r="I34" s="16"/>
      <c r="J34" s="16" t="s">
        <v>72</v>
      </c>
      <c r="K34" s="16" t="s">
        <v>72</v>
      </c>
      <c r="L34" s="16" t="s">
        <v>72</v>
      </c>
      <c r="M34" s="16" t="s">
        <v>72</v>
      </c>
      <c r="N34" s="16"/>
      <c r="O34" s="16" t="s">
        <v>20</v>
      </c>
      <c r="P34" s="16" t="s">
        <v>117</v>
      </c>
    </row>
    <row r="35" customFormat="false" ht="15" hidden="false" customHeight="true" outlineLevel="0" collapsed="false">
      <c r="A35" s="16" t="s">
        <v>78</v>
      </c>
      <c r="B35" s="16" t="s">
        <v>196</v>
      </c>
      <c r="C35" s="16" t="s">
        <v>77</v>
      </c>
      <c r="D35" s="16" t="s">
        <v>199</v>
      </c>
      <c r="E35" s="16"/>
      <c r="F35" s="16" t="s">
        <v>1474</v>
      </c>
      <c r="G35" s="16" t="s">
        <v>72</v>
      </c>
      <c r="H35" s="16" t="s">
        <v>72</v>
      </c>
      <c r="I35" s="16"/>
      <c r="J35" s="16" t="s">
        <v>72</v>
      </c>
      <c r="K35" s="16" t="s">
        <v>72</v>
      </c>
      <c r="L35" s="16" t="s">
        <v>72</v>
      </c>
      <c r="M35" s="16" t="s">
        <v>72</v>
      </c>
      <c r="N35" s="16"/>
      <c r="O35" s="16" t="s">
        <v>20</v>
      </c>
      <c r="P35" s="16" t="s">
        <v>117</v>
      </c>
    </row>
    <row r="36" customFormat="false" ht="15" hidden="false" customHeight="true" outlineLevel="0" collapsed="false">
      <c r="A36" s="16" t="s">
        <v>78</v>
      </c>
      <c r="B36" s="16" t="s">
        <v>200</v>
      </c>
      <c r="C36" s="16" t="s">
        <v>77</v>
      </c>
      <c r="D36" s="16" t="s">
        <v>203</v>
      </c>
      <c r="E36" s="16"/>
      <c r="F36" s="16" t="s">
        <v>1475</v>
      </c>
      <c r="G36" s="16" t="s">
        <v>72</v>
      </c>
      <c r="H36" s="16" t="s">
        <v>72</v>
      </c>
      <c r="I36" s="16"/>
      <c r="J36" s="16" t="s">
        <v>72</v>
      </c>
      <c r="K36" s="16" t="s">
        <v>72</v>
      </c>
      <c r="L36" s="16" t="s">
        <v>72</v>
      </c>
      <c r="M36" s="16" t="s">
        <v>72</v>
      </c>
      <c r="N36" s="16"/>
      <c r="O36" s="16" t="s">
        <v>20</v>
      </c>
      <c r="P36" s="16" t="s">
        <v>117</v>
      </c>
    </row>
    <row r="37" customFormat="false" ht="15" hidden="false" customHeight="true" outlineLevel="0" collapsed="false">
      <c r="A37" s="16" t="s">
        <v>78</v>
      </c>
      <c r="B37" s="16" t="s">
        <v>204</v>
      </c>
      <c r="C37" s="16" t="s">
        <v>77</v>
      </c>
      <c r="D37" s="16" t="s">
        <v>208</v>
      </c>
      <c r="E37" s="16" t="s">
        <v>209</v>
      </c>
      <c r="F37" s="16" t="s">
        <v>1476</v>
      </c>
      <c r="G37" s="16" t="s">
        <v>72</v>
      </c>
      <c r="H37" s="16" t="s">
        <v>72</v>
      </c>
      <c r="I37" s="16"/>
      <c r="J37" s="16" t="s">
        <v>72</v>
      </c>
      <c r="K37" s="16" t="s">
        <v>72</v>
      </c>
      <c r="L37" s="16" t="s">
        <v>72</v>
      </c>
      <c r="M37" s="16" t="s">
        <v>72</v>
      </c>
      <c r="N37" s="16"/>
      <c r="O37" s="16" t="s">
        <v>20</v>
      </c>
      <c r="P37" s="16" t="s">
        <v>117</v>
      </c>
    </row>
    <row r="38" customFormat="false" ht="15" hidden="false" customHeight="true" outlineLevel="0" collapsed="false">
      <c r="A38" s="16" t="s">
        <v>78</v>
      </c>
      <c r="B38" s="16" t="s">
        <v>210</v>
      </c>
      <c r="C38" s="16" t="s">
        <v>77</v>
      </c>
      <c r="D38" s="16" t="s">
        <v>213</v>
      </c>
      <c r="E38" s="16" t="s">
        <v>214</v>
      </c>
      <c r="F38" s="16" t="s">
        <v>1477</v>
      </c>
      <c r="G38" s="16" t="s">
        <v>72</v>
      </c>
      <c r="H38" s="16" t="s">
        <v>72</v>
      </c>
      <c r="I38" s="16"/>
      <c r="J38" s="16" t="s">
        <v>72</v>
      </c>
      <c r="K38" s="16" t="s">
        <v>72</v>
      </c>
      <c r="L38" s="16" t="s">
        <v>72</v>
      </c>
      <c r="M38" s="16" t="s">
        <v>72</v>
      </c>
      <c r="N38" s="16"/>
      <c r="O38" s="16" t="s">
        <v>20</v>
      </c>
      <c r="P38" s="16" t="s">
        <v>117</v>
      </c>
    </row>
    <row r="39" customFormat="false" ht="15" hidden="false" customHeight="true" outlineLevel="0" collapsed="false">
      <c r="A39" s="16" t="s">
        <v>78</v>
      </c>
      <c r="B39" s="16" t="s">
        <v>215</v>
      </c>
      <c r="C39" s="16" t="s">
        <v>77</v>
      </c>
      <c r="D39" s="16" t="s">
        <v>218</v>
      </c>
      <c r="E39" s="16"/>
      <c r="F39" s="16" t="s">
        <v>1478</v>
      </c>
      <c r="G39" s="16" t="s">
        <v>72</v>
      </c>
      <c r="H39" s="16" t="s">
        <v>72</v>
      </c>
      <c r="I39" s="16"/>
      <c r="J39" s="16" t="s">
        <v>72</v>
      </c>
      <c r="K39" s="16" t="s">
        <v>72</v>
      </c>
      <c r="L39" s="16" t="s">
        <v>72</v>
      </c>
      <c r="M39" s="16" t="s">
        <v>72</v>
      </c>
      <c r="N39" s="16"/>
      <c r="O39" s="16" t="s">
        <v>20</v>
      </c>
      <c r="P39" s="16" t="s">
        <v>117</v>
      </c>
    </row>
    <row r="40" customFormat="false" ht="15" hidden="false" customHeight="true" outlineLevel="0" collapsed="false">
      <c r="A40" s="16" t="s">
        <v>78</v>
      </c>
      <c r="B40" s="16" t="s">
        <v>219</v>
      </c>
      <c r="C40" s="16" t="s">
        <v>77</v>
      </c>
      <c r="D40" s="16" t="s">
        <v>222</v>
      </c>
      <c r="E40" s="16" t="s">
        <v>223</v>
      </c>
      <c r="F40" s="16" t="s">
        <v>1479</v>
      </c>
      <c r="G40" s="16" t="s">
        <v>72</v>
      </c>
      <c r="H40" s="16" t="s">
        <v>72</v>
      </c>
      <c r="I40" s="16"/>
      <c r="J40" s="16" t="s">
        <v>72</v>
      </c>
      <c r="K40" s="16" t="s">
        <v>72</v>
      </c>
      <c r="L40" s="16" t="s">
        <v>72</v>
      </c>
      <c r="M40" s="16" t="s">
        <v>72</v>
      </c>
      <c r="N40" s="16"/>
      <c r="O40" s="16" t="s">
        <v>20</v>
      </c>
      <c r="P40" s="16" t="s">
        <v>117</v>
      </c>
    </row>
    <row r="41" customFormat="false" ht="15" hidden="false" customHeight="true" outlineLevel="0" collapsed="false">
      <c r="A41" s="16" t="s">
        <v>78</v>
      </c>
      <c r="B41" s="16" t="s">
        <v>224</v>
      </c>
      <c r="C41" s="16" t="s">
        <v>77</v>
      </c>
      <c r="D41" s="16" t="s">
        <v>227</v>
      </c>
      <c r="E41" s="16"/>
      <c r="F41" s="16" t="s">
        <v>1480</v>
      </c>
      <c r="G41" s="16" t="s">
        <v>72</v>
      </c>
      <c r="H41" s="16" t="s">
        <v>72</v>
      </c>
      <c r="I41" s="16"/>
      <c r="J41" s="16" t="s">
        <v>72</v>
      </c>
      <c r="K41" s="16" t="s">
        <v>72</v>
      </c>
      <c r="L41" s="16" t="s">
        <v>72</v>
      </c>
      <c r="M41" s="16" t="s">
        <v>72</v>
      </c>
      <c r="N41" s="16"/>
      <c r="O41" s="16" t="s">
        <v>20</v>
      </c>
      <c r="P41" s="16" t="s">
        <v>117</v>
      </c>
    </row>
    <row r="42" customFormat="false" ht="15" hidden="false" customHeight="true" outlineLevel="0" collapsed="false">
      <c r="A42" s="16" t="s">
        <v>78</v>
      </c>
      <c r="B42" s="16" t="s">
        <v>228</v>
      </c>
      <c r="C42" s="16" t="s">
        <v>77</v>
      </c>
      <c r="D42" s="16" t="s">
        <v>231</v>
      </c>
      <c r="E42" s="16"/>
      <c r="F42" s="16" t="s">
        <v>1481</v>
      </c>
      <c r="G42" s="16" t="s">
        <v>72</v>
      </c>
      <c r="H42" s="16" t="s">
        <v>72</v>
      </c>
      <c r="I42" s="16"/>
      <c r="J42" s="16" t="s">
        <v>72</v>
      </c>
      <c r="K42" s="16" t="s">
        <v>72</v>
      </c>
      <c r="L42" s="16" t="s">
        <v>72</v>
      </c>
      <c r="M42" s="16" t="s">
        <v>72</v>
      </c>
      <c r="N42" s="16"/>
      <c r="O42" s="16" t="s">
        <v>20</v>
      </c>
      <c r="P42" s="16" t="s">
        <v>117</v>
      </c>
    </row>
    <row r="43" customFormat="false" ht="15" hidden="false" customHeight="true" outlineLevel="0" collapsed="false">
      <c r="A43" s="16" t="s">
        <v>78</v>
      </c>
      <c r="B43" s="16" t="s">
        <v>232</v>
      </c>
      <c r="C43" s="16" t="s">
        <v>77</v>
      </c>
      <c r="D43" s="16" t="s">
        <v>235</v>
      </c>
      <c r="E43" s="16"/>
      <c r="F43" s="16" t="s">
        <v>1482</v>
      </c>
      <c r="G43" s="16" t="s">
        <v>72</v>
      </c>
      <c r="H43" s="16" t="s">
        <v>72</v>
      </c>
      <c r="I43" s="16"/>
      <c r="J43" s="16" t="s">
        <v>72</v>
      </c>
      <c r="K43" s="16" t="s">
        <v>72</v>
      </c>
      <c r="L43" s="16" t="s">
        <v>72</v>
      </c>
      <c r="M43" s="16" t="s">
        <v>72</v>
      </c>
      <c r="N43" s="16"/>
      <c r="O43" s="16" t="s">
        <v>20</v>
      </c>
      <c r="P43" s="16" t="s">
        <v>117</v>
      </c>
    </row>
    <row r="44" customFormat="false" ht="15" hidden="false" customHeight="true" outlineLevel="0" collapsed="false">
      <c r="A44" s="16" t="s">
        <v>78</v>
      </c>
      <c r="B44" s="16" t="s">
        <v>236</v>
      </c>
      <c r="C44" s="16" t="s">
        <v>240</v>
      </c>
      <c r="D44" s="16" t="s">
        <v>239</v>
      </c>
      <c r="E44" s="16"/>
      <c r="F44" s="16" t="s">
        <v>1483</v>
      </c>
      <c r="G44" s="16" t="s">
        <v>72</v>
      </c>
      <c r="H44" s="16" t="s">
        <v>72</v>
      </c>
      <c r="I44" s="16"/>
      <c r="J44" s="16" t="s">
        <v>72</v>
      </c>
      <c r="K44" s="16" t="s">
        <v>72</v>
      </c>
      <c r="L44" s="16" t="s">
        <v>72</v>
      </c>
      <c r="M44" s="16" t="s">
        <v>72</v>
      </c>
      <c r="N44" s="16"/>
      <c r="O44" s="16" t="s">
        <v>241</v>
      </c>
      <c r="P44" s="16" t="s">
        <v>1484</v>
      </c>
    </row>
    <row r="45" customFormat="false" ht="15" hidden="false" customHeight="true" outlineLevel="0" collapsed="false">
      <c r="A45" s="16" t="s">
        <v>78</v>
      </c>
      <c r="B45" s="16" t="s">
        <v>243</v>
      </c>
      <c r="C45" s="16" t="s">
        <v>240</v>
      </c>
      <c r="D45" s="16" t="s">
        <v>246</v>
      </c>
      <c r="E45" s="16"/>
      <c r="F45" s="16" t="s">
        <v>1485</v>
      </c>
      <c r="G45" s="16" t="s">
        <v>72</v>
      </c>
      <c r="H45" s="16" t="s">
        <v>72</v>
      </c>
      <c r="I45" s="16"/>
      <c r="J45" s="16" t="s">
        <v>72</v>
      </c>
      <c r="K45" s="16" t="s">
        <v>72</v>
      </c>
      <c r="L45" s="16" t="s">
        <v>72</v>
      </c>
      <c r="M45" s="16" t="s">
        <v>72</v>
      </c>
      <c r="N45" s="16"/>
      <c r="O45" s="16" t="s">
        <v>247</v>
      </c>
      <c r="P45" s="16" t="s">
        <v>1486</v>
      </c>
    </row>
    <row r="46" customFormat="false" ht="15" hidden="false" customHeight="true" outlineLevel="0" collapsed="false">
      <c r="A46" s="16" t="s">
        <v>78</v>
      </c>
      <c r="B46" s="16" t="s">
        <v>249</v>
      </c>
      <c r="C46" s="16" t="s">
        <v>77</v>
      </c>
      <c r="D46" s="16" t="s">
        <v>253</v>
      </c>
      <c r="E46" s="16" t="s">
        <v>254</v>
      </c>
      <c r="F46" s="16" t="s">
        <v>1487</v>
      </c>
      <c r="G46" s="16" t="s">
        <v>72</v>
      </c>
      <c r="H46" s="16" t="s">
        <v>72</v>
      </c>
      <c r="I46" s="16"/>
      <c r="J46" s="16" t="s">
        <v>72</v>
      </c>
      <c r="K46" s="16" t="s">
        <v>72</v>
      </c>
      <c r="L46" s="16" t="s">
        <v>72</v>
      </c>
      <c r="M46" s="16" t="s">
        <v>72</v>
      </c>
      <c r="N46" s="16"/>
      <c r="O46" s="16" t="s">
        <v>20</v>
      </c>
      <c r="P46" s="16" t="s">
        <v>255</v>
      </c>
    </row>
    <row r="47" customFormat="false" ht="15" hidden="false" customHeight="true" outlineLevel="0" collapsed="false">
      <c r="A47" s="16" t="s">
        <v>78</v>
      </c>
      <c r="B47" s="16" t="s">
        <v>256</v>
      </c>
      <c r="C47" s="16" t="s">
        <v>77</v>
      </c>
      <c r="D47" s="16" t="s">
        <v>258</v>
      </c>
      <c r="E47" s="16" t="s">
        <v>259</v>
      </c>
      <c r="F47" s="16" t="s">
        <v>1487</v>
      </c>
      <c r="G47" s="16" t="s">
        <v>72</v>
      </c>
      <c r="H47" s="16" t="s">
        <v>72</v>
      </c>
      <c r="I47" s="16"/>
      <c r="J47" s="16" t="s">
        <v>72</v>
      </c>
      <c r="K47" s="16" t="s">
        <v>72</v>
      </c>
      <c r="L47" s="16" t="s">
        <v>72</v>
      </c>
      <c r="M47" s="16" t="s">
        <v>72</v>
      </c>
      <c r="N47" s="16"/>
      <c r="O47" s="16" t="s">
        <v>20</v>
      </c>
      <c r="P47" s="16" t="s">
        <v>255</v>
      </c>
    </row>
    <row r="48" customFormat="false" ht="15" hidden="false" customHeight="true" outlineLevel="0" collapsed="false">
      <c r="A48" s="16" t="s">
        <v>78</v>
      </c>
      <c r="B48" s="16" t="s">
        <v>260</v>
      </c>
      <c r="C48" s="16" t="s">
        <v>77</v>
      </c>
      <c r="D48" s="16" t="s">
        <v>262</v>
      </c>
      <c r="E48" s="16" t="s">
        <v>263</v>
      </c>
      <c r="F48" s="16" t="s">
        <v>1487</v>
      </c>
      <c r="G48" s="16" t="s">
        <v>72</v>
      </c>
      <c r="H48" s="16" t="s">
        <v>72</v>
      </c>
      <c r="I48" s="16"/>
      <c r="J48" s="16" t="s">
        <v>72</v>
      </c>
      <c r="K48" s="16" t="s">
        <v>72</v>
      </c>
      <c r="L48" s="16" t="s">
        <v>72</v>
      </c>
      <c r="M48" s="16" t="s">
        <v>72</v>
      </c>
      <c r="N48" s="16"/>
      <c r="O48" s="16" t="s">
        <v>20</v>
      </c>
      <c r="P48" s="16" t="s">
        <v>255</v>
      </c>
    </row>
    <row r="49" customFormat="false" ht="15" hidden="false" customHeight="true" outlineLevel="0" collapsed="false">
      <c r="A49" s="16" t="s">
        <v>78</v>
      </c>
      <c r="B49" s="16" t="s">
        <v>264</v>
      </c>
      <c r="C49" s="16" t="s">
        <v>77</v>
      </c>
      <c r="D49" s="16" t="s">
        <v>266</v>
      </c>
      <c r="E49" s="16"/>
      <c r="F49" s="16" t="s">
        <v>1487</v>
      </c>
      <c r="G49" s="16" t="s">
        <v>72</v>
      </c>
      <c r="H49" s="16" t="s">
        <v>72</v>
      </c>
      <c r="I49" s="16"/>
      <c r="J49" s="16" t="s">
        <v>72</v>
      </c>
      <c r="K49" s="16" t="s">
        <v>72</v>
      </c>
      <c r="L49" s="16" t="s">
        <v>72</v>
      </c>
      <c r="M49" s="16" t="s">
        <v>72</v>
      </c>
      <c r="N49" s="16"/>
      <c r="O49" s="16" t="s">
        <v>20</v>
      </c>
      <c r="P49" s="16" t="s">
        <v>255</v>
      </c>
    </row>
    <row r="50" customFormat="false" ht="15" hidden="false" customHeight="true" outlineLevel="0" collapsed="false">
      <c r="A50" s="16" t="s">
        <v>78</v>
      </c>
      <c r="B50" s="16" t="s">
        <v>267</v>
      </c>
      <c r="C50" s="16" t="s">
        <v>77</v>
      </c>
      <c r="D50" s="16" t="s">
        <v>269</v>
      </c>
      <c r="E50" s="16"/>
      <c r="F50" s="16" t="s">
        <v>1487</v>
      </c>
      <c r="G50" s="16" t="s">
        <v>72</v>
      </c>
      <c r="H50" s="16" t="s">
        <v>72</v>
      </c>
      <c r="I50" s="16"/>
      <c r="J50" s="16" t="s">
        <v>72</v>
      </c>
      <c r="K50" s="16" t="s">
        <v>72</v>
      </c>
      <c r="L50" s="16" t="s">
        <v>72</v>
      </c>
      <c r="M50" s="16" t="s">
        <v>72</v>
      </c>
      <c r="N50" s="16"/>
      <c r="O50" s="16" t="s">
        <v>20</v>
      </c>
      <c r="P50" s="16" t="s">
        <v>255</v>
      </c>
    </row>
    <row r="51" customFormat="false" ht="15" hidden="false" customHeight="true" outlineLevel="0" collapsed="false">
      <c r="A51" s="16" t="s">
        <v>78</v>
      </c>
      <c r="B51" s="16" t="s">
        <v>270</v>
      </c>
      <c r="C51" s="16" t="s">
        <v>77</v>
      </c>
      <c r="D51" s="16" t="s">
        <v>272</v>
      </c>
      <c r="E51" s="16" t="s">
        <v>273</v>
      </c>
      <c r="F51" s="16" t="s">
        <v>1487</v>
      </c>
      <c r="G51" s="16" t="s">
        <v>72</v>
      </c>
      <c r="H51" s="16" t="s">
        <v>72</v>
      </c>
      <c r="I51" s="16"/>
      <c r="J51" s="16" t="s">
        <v>72</v>
      </c>
      <c r="K51" s="16" t="s">
        <v>72</v>
      </c>
      <c r="L51" s="16" t="s">
        <v>72</v>
      </c>
      <c r="M51" s="16" t="s">
        <v>72</v>
      </c>
      <c r="N51" s="16"/>
      <c r="O51" s="16" t="s">
        <v>20</v>
      </c>
      <c r="P51" s="16" t="s">
        <v>255</v>
      </c>
    </row>
    <row r="52" customFormat="false" ht="15" hidden="false" customHeight="true" outlineLevel="0" collapsed="false">
      <c r="A52" s="16" t="s">
        <v>78</v>
      </c>
      <c r="B52" s="16" t="s">
        <v>274</v>
      </c>
      <c r="C52" s="16" t="s">
        <v>77</v>
      </c>
      <c r="D52" s="16" t="s">
        <v>276</v>
      </c>
      <c r="E52" s="16"/>
      <c r="F52" s="16" t="s">
        <v>1487</v>
      </c>
      <c r="G52" s="16" t="s">
        <v>72</v>
      </c>
      <c r="H52" s="16" t="s">
        <v>72</v>
      </c>
      <c r="I52" s="16"/>
      <c r="J52" s="16" t="s">
        <v>72</v>
      </c>
      <c r="K52" s="16" t="s">
        <v>72</v>
      </c>
      <c r="L52" s="16" t="s">
        <v>72</v>
      </c>
      <c r="M52" s="16" t="s">
        <v>72</v>
      </c>
      <c r="N52" s="16"/>
      <c r="O52" s="16" t="s">
        <v>20</v>
      </c>
      <c r="P52" s="16" t="s">
        <v>255</v>
      </c>
    </row>
    <row r="53" customFormat="false" ht="15" hidden="false" customHeight="true" outlineLevel="0" collapsed="false">
      <c r="A53" s="16" t="s">
        <v>78</v>
      </c>
      <c r="B53" s="16" t="s">
        <v>277</v>
      </c>
      <c r="C53" s="16" t="s">
        <v>77</v>
      </c>
      <c r="D53" s="16" t="s">
        <v>279</v>
      </c>
      <c r="E53" s="16"/>
      <c r="F53" s="16" t="s">
        <v>1487</v>
      </c>
      <c r="G53" s="16" t="s">
        <v>72</v>
      </c>
      <c r="H53" s="16" t="s">
        <v>72</v>
      </c>
      <c r="I53" s="16"/>
      <c r="J53" s="16" t="s">
        <v>72</v>
      </c>
      <c r="K53" s="16" t="s">
        <v>72</v>
      </c>
      <c r="L53" s="16" t="s">
        <v>72</v>
      </c>
      <c r="M53" s="16" t="s">
        <v>72</v>
      </c>
      <c r="N53" s="16"/>
      <c r="O53" s="16" t="s">
        <v>20</v>
      </c>
      <c r="P53" s="16" t="s">
        <v>255</v>
      </c>
    </row>
    <row r="54" customFormat="false" ht="15" hidden="false" customHeight="true" outlineLevel="0" collapsed="false">
      <c r="A54" s="16" t="s">
        <v>78</v>
      </c>
      <c r="B54" s="16" t="s">
        <v>280</v>
      </c>
      <c r="C54" s="16" t="s">
        <v>77</v>
      </c>
      <c r="D54" s="16" t="s">
        <v>282</v>
      </c>
      <c r="E54" s="16"/>
      <c r="F54" s="16" t="s">
        <v>1487</v>
      </c>
      <c r="G54" s="16" t="s">
        <v>72</v>
      </c>
      <c r="H54" s="16" t="s">
        <v>72</v>
      </c>
      <c r="I54" s="16"/>
      <c r="J54" s="16" t="s">
        <v>72</v>
      </c>
      <c r="K54" s="16" t="s">
        <v>72</v>
      </c>
      <c r="L54" s="16" t="s">
        <v>72</v>
      </c>
      <c r="M54" s="16" t="s">
        <v>72</v>
      </c>
      <c r="N54" s="16"/>
      <c r="O54" s="16" t="s">
        <v>20</v>
      </c>
      <c r="P54" s="16" t="s">
        <v>255</v>
      </c>
    </row>
    <row r="55" customFormat="false" ht="15" hidden="false" customHeight="true" outlineLevel="0" collapsed="false">
      <c r="A55" s="16" t="s">
        <v>78</v>
      </c>
      <c r="B55" s="16" t="s">
        <v>283</v>
      </c>
      <c r="C55" s="16" t="s">
        <v>77</v>
      </c>
      <c r="D55" s="16" t="s">
        <v>285</v>
      </c>
      <c r="E55" s="16"/>
      <c r="F55" s="16" t="s">
        <v>1487</v>
      </c>
      <c r="G55" s="16" t="s">
        <v>72</v>
      </c>
      <c r="H55" s="16" t="s">
        <v>72</v>
      </c>
      <c r="I55" s="16"/>
      <c r="J55" s="16" t="s">
        <v>72</v>
      </c>
      <c r="K55" s="16" t="s">
        <v>72</v>
      </c>
      <c r="L55" s="16" t="s">
        <v>72</v>
      </c>
      <c r="M55" s="16" t="s">
        <v>72</v>
      </c>
      <c r="N55" s="16"/>
      <c r="O55" s="16" t="s">
        <v>20</v>
      </c>
      <c r="P55" s="16" t="s">
        <v>255</v>
      </c>
    </row>
    <row r="56" customFormat="false" ht="15" hidden="false" customHeight="true" outlineLevel="0" collapsed="false">
      <c r="A56" s="16" t="s">
        <v>78</v>
      </c>
      <c r="B56" s="16" t="s">
        <v>286</v>
      </c>
      <c r="C56" s="16" t="s">
        <v>240</v>
      </c>
      <c r="D56" s="16" t="s">
        <v>288</v>
      </c>
      <c r="E56" s="16"/>
      <c r="F56" s="16" t="s">
        <v>1488</v>
      </c>
      <c r="G56" s="16"/>
      <c r="H56" s="16"/>
      <c r="I56" s="16"/>
      <c r="J56" s="16"/>
      <c r="K56" s="16"/>
      <c r="L56" s="16"/>
      <c r="M56" s="16"/>
      <c r="N56" s="16"/>
      <c r="O56" s="16" t="s">
        <v>1489</v>
      </c>
      <c r="P56" s="16" t="s">
        <v>1490</v>
      </c>
    </row>
    <row r="57" customFormat="false" ht="15" hidden="false" customHeight="true" outlineLevel="0" collapsed="false">
      <c r="A57" s="16" t="s">
        <v>78</v>
      </c>
      <c r="B57" s="16" t="s">
        <v>290</v>
      </c>
      <c r="C57" s="16" t="s">
        <v>77</v>
      </c>
      <c r="D57" s="16" t="s">
        <v>294</v>
      </c>
      <c r="E57" s="16"/>
      <c r="F57" s="16" t="s">
        <v>1491</v>
      </c>
      <c r="G57" s="16" t="s">
        <v>72</v>
      </c>
      <c r="H57" s="16" t="s">
        <v>72</v>
      </c>
      <c r="I57" s="16"/>
      <c r="J57" s="16" t="s">
        <v>72</v>
      </c>
      <c r="K57" s="16" t="s">
        <v>72</v>
      </c>
      <c r="L57" s="16" t="s">
        <v>72</v>
      </c>
      <c r="M57" s="16" t="s">
        <v>72</v>
      </c>
      <c r="N57" s="16"/>
      <c r="O57" s="16" t="s">
        <v>20</v>
      </c>
      <c r="P57" s="16" t="s">
        <v>1492</v>
      </c>
    </row>
    <row r="58" customFormat="false" ht="15" hidden="false" customHeight="true" outlineLevel="0" collapsed="false">
      <c r="A58" s="16" t="s">
        <v>78</v>
      </c>
      <c r="B58" s="16" t="s">
        <v>296</v>
      </c>
      <c r="C58" s="16" t="s">
        <v>77</v>
      </c>
      <c r="D58" s="16" t="s">
        <v>298</v>
      </c>
      <c r="E58" s="16"/>
      <c r="F58" s="16" t="s">
        <v>1493</v>
      </c>
      <c r="G58" s="16" t="s">
        <v>72</v>
      </c>
      <c r="H58" s="16" t="s">
        <v>72</v>
      </c>
      <c r="I58" s="16"/>
      <c r="J58" s="16" t="s">
        <v>72</v>
      </c>
      <c r="K58" s="16" t="s">
        <v>72</v>
      </c>
      <c r="L58" s="16" t="s">
        <v>72</v>
      </c>
      <c r="M58" s="16" t="s">
        <v>72</v>
      </c>
      <c r="N58" s="16"/>
      <c r="O58" s="16" t="s">
        <v>20</v>
      </c>
      <c r="P58" s="16" t="s">
        <v>1492</v>
      </c>
    </row>
    <row r="59" customFormat="false" ht="15" hidden="false" customHeight="true" outlineLevel="0" collapsed="false">
      <c r="A59" s="16" t="s">
        <v>78</v>
      </c>
      <c r="B59" s="16" t="s">
        <v>299</v>
      </c>
      <c r="C59" s="16" t="s">
        <v>77</v>
      </c>
      <c r="D59" s="16" t="s">
        <v>301</v>
      </c>
      <c r="E59" s="16"/>
      <c r="F59" s="16" t="s">
        <v>1494</v>
      </c>
      <c r="G59" s="16" t="s">
        <v>72</v>
      </c>
      <c r="H59" s="16" t="s">
        <v>72</v>
      </c>
      <c r="I59" s="16"/>
      <c r="J59" s="16" t="s">
        <v>72</v>
      </c>
      <c r="K59" s="16" t="s">
        <v>72</v>
      </c>
      <c r="L59" s="16" t="s">
        <v>72</v>
      </c>
      <c r="M59" s="16" t="s">
        <v>72</v>
      </c>
      <c r="N59" s="16"/>
      <c r="O59" s="16" t="s">
        <v>20</v>
      </c>
      <c r="P59" s="16" t="s">
        <v>1492</v>
      </c>
    </row>
    <row r="60" customFormat="false" ht="15" hidden="false" customHeight="true" outlineLevel="0" collapsed="false">
      <c r="A60" s="16" t="s">
        <v>78</v>
      </c>
      <c r="B60" s="16" t="s">
        <v>302</v>
      </c>
      <c r="C60" s="16" t="s">
        <v>77</v>
      </c>
      <c r="D60" s="16" t="s">
        <v>306</v>
      </c>
      <c r="E60" s="16"/>
      <c r="F60" s="16" t="s">
        <v>1495</v>
      </c>
      <c r="G60" s="16" t="s">
        <v>72</v>
      </c>
      <c r="H60" s="16" t="s">
        <v>72</v>
      </c>
      <c r="I60" s="16"/>
      <c r="J60" s="16" t="s">
        <v>72</v>
      </c>
      <c r="K60" s="16" t="s">
        <v>72</v>
      </c>
      <c r="L60" s="16" t="s">
        <v>72</v>
      </c>
      <c r="M60" s="16" t="s">
        <v>72</v>
      </c>
      <c r="N60" s="16"/>
      <c r="O60" s="16" t="s">
        <v>20</v>
      </c>
      <c r="P60" s="16" t="s">
        <v>1496</v>
      </c>
    </row>
    <row r="61" customFormat="false" ht="15" hidden="false" customHeight="true" outlineLevel="0" collapsed="false">
      <c r="A61" s="16" t="s">
        <v>78</v>
      </c>
      <c r="B61" s="16" t="s">
        <v>308</v>
      </c>
      <c r="C61" s="16" t="s">
        <v>240</v>
      </c>
      <c r="D61" s="16" t="s">
        <v>312</v>
      </c>
      <c r="E61" s="16"/>
      <c r="F61" s="16" t="s">
        <v>1497</v>
      </c>
      <c r="G61" s="16" t="s">
        <v>72</v>
      </c>
      <c r="H61" s="16" t="s">
        <v>72</v>
      </c>
      <c r="I61" s="16"/>
      <c r="J61" s="16" t="s">
        <v>72</v>
      </c>
      <c r="K61" s="16" t="s">
        <v>72</v>
      </c>
      <c r="L61" s="16" t="s">
        <v>72</v>
      </c>
      <c r="M61" s="16" t="s">
        <v>72</v>
      </c>
      <c r="N61" s="16"/>
      <c r="O61" s="16" t="s">
        <v>241</v>
      </c>
      <c r="P61" s="16" t="s">
        <v>1498</v>
      </c>
    </row>
    <row r="62" customFormat="false" ht="15" hidden="false" customHeight="true" outlineLevel="0" collapsed="false">
      <c r="A62" s="16" t="s">
        <v>78</v>
      </c>
      <c r="B62" s="16" t="s">
        <v>314</v>
      </c>
      <c r="C62" s="16" t="s">
        <v>77</v>
      </c>
      <c r="D62" s="16" t="s">
        <v>318</v>
      </c>
      <c r="E62" s="16"/>
      <c r="F62" s="16" t="s">
        <v>1499</v>
      </c>
      <c r="G62" s="16" t="s">
        <v>71</v>
      </c>
      <c r="H62" s="16" t="s">
        <v>72</v>
      </c>
      <c r="I62" s="16"/>
      <c r="J62" s="16" t="s">
        <v>72</v>
      </c>
      <c r="K62" s="16" t="s">
        <v>72</v>
      </c>
      <c r="L62" s="16" t="s">
        <v>72</v>
      </c>
      <c r="M62" s="16" t="s">
        <v>72</v>
      </c>
      <c r="N62" s="16"/>
      <c r="O62" s="16" t="s">
        <v>105</v>
      </c>
      <c r="P62" s="16" t="s">
        <v>1500</v>
      </c>
    </row>
    <row r="63" customFormat="false" ht="15" hidden="false" customHeight="true" outlineLevel="0" collapsed="false">
      <c r="A63" s="16" t="s">
        <v>78</v>
      </c>
      <c r="B63" s="16" t="s">
        <v>320</v>
      </c>
      <c r="C63" s="16" t="s">
        <v>77</v>
      </c>
      <c r="D63" s="16" t="s">
        <v>324</v>
      </c>
      <c r="E63" s="16"/>
      <c r="F63" s="16" t="s">
        <v>1501</v>
      </c>
      <c r="G63" s="16" t="s">
        <v>72</v>
      </c>
      <c r="H63" s="16" t="s">
        <v>72</v>
      </c>
      <c r="I63" s="16"/>
      <c r="J63" s="16" t="s">
        <v>72</v>
      </c>
      <c r="K63" s="16" t="s">
        <v>72</v>
      </c>
      <c r="L63" s="16" t="s">
        <v>72</v>
      </c>
      <c r="M63" s="16" t="s">
        <v>72</v>
      </c>
      <c r="N63" s="16"/>
      <c r="O63" s="16" t="s">
        <v>20</v>
      </c>
      <c r="P63" s="16" t="s">
        <v>1502</v>
      </c>
    </row>
    <row r="64" customFormat="false" ht="15" hidden="false" customHeight="true" outlineLevel="0" collapsed="false">
      <c r="A64" s="16" t="s">
        <v>331</v>
      </c>
      <c r="B64" s="16" t="s">
        <v>326</v>
      </c>
      <c r="C64" s="16" t="s">
        <v>77</v>
      </c>
      <c r="D64" s="16" t="s">
        <v>330</v>
      </c>
      <c r="E64" s="16"/>
      <c r="F64" s="16" t="s">
        <v>1503</v>
      </c>
      <c r="G64" s="16" t="s">
        <v>72</v>
      </c>
      <c r="H64" s="16" t="s">
        <v>72</v>
      </c>
      <c r="I64" s="16"/>
      <c r="J64" s="16" t="s">
        <v>72</v>
      </c>
      <c r="K64" s="16" t="s">
        <v>72</v>
      </c>
      <c r="L64" s="16" t="s">
        <v>72</v>
      </c>
      <c r="M64" s="16" t="s">
        <v>72</v>
      </c>
      <c r="N64" s="16"/>
      <c r="O64" s="16" t="s">
        <v>20</v>
      </c>
      <c r="P64" s="16"/>
    </row>
    <row r="65" customFormat="false" ht="15" hidden="false" customHeight="true" outlineLevel="0" collapsed="false">
      <c r="A65" s="16" t="s">
        <v>331</v>
      </c>
      <c r="B65" s="16" t="s">
        <v>332</v>
      </c>
      <c r="C65" s="16" t="s">
        <v>77</v>
      </c>
      <c r="D65" s="16" t="s">
        <v>335</v>
      </c>
      <c r="E65" s="16"/>
      <c r="F65" s="16" t="s">
        <v>1504</v>
      </c>
      <c r="G65" s="16" t="s">
        <v>71</v>
      </c>
      <c r="H65" s="16" t="s">
        <v>72</v>
      </c>
      <c r="I65" s="16"/>
      <c r="J65" s="16" t="s">
        <v>72</v>
      </c>
      <c r="K65" s="16" t="s">
        <v>72</v>
      </c>
      <c r="L65" s="16" t="s">
        <v>72</v>
      </c>
      <c r="M65" s="16" t="s">
        <v>72</v>
      </c>
      <c r="N65" s="16"/>
      <c r="O65" s="16" t="s">
        <v>105</v>
      </c>
      <c r="P65" s="16" t="s">
        <v>1505</v>
      </c>
    </row>
    <row r="66" customFormat="false" ht="15" hidden="false" customHeight="true" outlineLevel="0" collapsed="false">
      <c r="A66" s="16" t="s">
        <v>331</v>
      </c>
      <c r="B66" s="16" t="s">
        <v>336</v>
      </c>
      <c r="C66" s="16" t="s">
        <v>77</v>
      </c>
      <c r="D66" s="16" t="s">
        <v>338</v>
      </c>
      <c r="E66" s="16"/>
      <c r="F66" s="16" t="s">
        <v>1506</v>
      </c>
      <c r="G66" s="16" t="s">
        <v>72</v>
      </c>
      <c r="H66" s="16" t="s">
        <v>72</v>
      </c>
      <c r="I66" s="16"/>
      <c r="J66" s="16" t="s">
        <v>72</v>
      </c>
      <c r="K66" s="16" t="s">
        <v>72</v>
      </c>
      <c r="L66" s="16" t="s">
        <v>72</v>
      </c>
      <c r="M66" s="16" t="s">
        <v>72</v>
      </c>
      <c r="N66" s="16"/>
      <c r="O66" s="16" t="s">
        <v>20</v>
      </c>
      <c r="P66" s="16"/>
    </row>
    <row r="67" customFormat="false" ht="15" hidden="false" customHeight="true" outlineLevel="0" collapsed="false">
      <c r="A67" s="16" t="s">
        <v>331</v>
      </c>
      <c r="B67" s="16" t="s">
        <v>339</v>
      </c>
      <c r="C67" s="16" t="s">
        <v>77</v>
      </c>
      <c r="D67" s="16" t="s">
        <v>341</v>
      </c>
      <c r="E67" s="16"/>
      <c r="F67" s="16" t="s">
        <v>1507</v>
      </c>
      <c r="G67" s="16" t="s">
        <v>72</v>
      </c>
      <c r="H67" s="16" t="s">
        <v>72</v>
      </c>
      <c r="I67" s="16"/>
      <c r="J67" s="16" t="s">
        <v>72</v>
      </c>
      <c r="K67" s="16" t="s">
        <v>72</v>
      </c>
      <c r="L67" s="16" t="s">
        <v>72</v>
      </c>
      <c r="M67" s="16" t="s">
        <v>72</v>
      </c>
      <c r="N67" s="16"/>
      <c r="O67" s="16" t="s">
        <v>20</v>
      </c>
      <c r="P67" s="16"/>
    </row>
    <row r="68" customFormat="false" ht="15" hidden="false" customHeight="true" outlineLevel="0" collapsed="false">
      <c r="A68" s="16" t="s">
        <v>331</v>
      </c>
      <c r="B68" s="16" t="s">
        <v>342</v>
      </c>
      <c r="C68" s="16" t="s">
        <v>77</v>
      </c>
      <c r="D68" s="16" t="s">
        <v>344</v>
      </c>
      <c r="E68" s="16"/>
      <c r="F68" s="16" t="s">
        <v>1508</v>
      </c>
      <c r="G68" s="16" t="s">
        <v>72</v>
      </c>
      <c r="H68" s="16" t="s">
        <v>72</v>
      </c>
      <c r="I68" s="16"/>
      <c r="J68" s="16" t="s">
        <v>72</v>
      </c>
      <c r="K68" s="16" t="s">
        <v>72</v>
      </c>
      <c r="L68" s="16" t="s">
        <v>72</v>
      </c>
      <c r="M68" s="16" t="s">
        <v>72</v>
      </c>
      <c r="N68" s="16"/>
      <c r="O68" s="16" t="s">
        <v>20</v>
      </c>
      <c r="P68" s="16"/>
    </row>
    <row r="69" customFormat="false" ht="15" hidden="false" customHeight="true" outlineLevel="0" collapsed="false">
      <c r="A69" s="16" t="s">
        <v>331</v>
      </c>
      <c r="B69" s="16" t="s">
        <v>345</v>
      </c>
      <c r="C69" s="16" t="s">
        <v>77</v>
      </c>
      <c r="D69" s="16" t="s">
        <v>347</v>
      </c>
      <c r="E69" s="16"/>
      <c r="F69" s="16" t="s">
        <v>1509</v>
      </c>
      <c r="G69" s="16" t="s">
        <v>72</v>
      </c>
      <c r="H69" s="16" t="s">
        <v>72</v>
      </c>
      <c r="I69" s="16"/>
      <c r="J69" s="16" t="s">
        <v>72</v>
      </c>
      <c r="K69" s="16" t="s">
        <v>72</v>
      </c>
      <c r="L69" s="16" t="s">
        <v>72</v>
      </c>
      <c r="M69" s="16" t="s">
        <v>72</v>
      </c>
      <c r="N69" s="16"/>
      <c r="O69" s="16" t="s">
        <v>20</v>
      </c>
      <c r="P69" s="16"/>
    </row>
    <row r="70" customFormat="false" ht="15" hidden="false" customHeight="true" outlineLevel="0" collapsed="false">
      <c r="A70" s="16" t="s">
        <v>331</v>
      </c>
      <c r="B70" s="16" t="s">
        <v>348</v>
      </c>
      <c r="C70" s="16" t="s">
        <v>77</v>
      </c>
      <c r="D70" s="16" t="s">
        <v>351</v>
      </c>
      <c r="E70" s="16"/>
      <c r="F70" s="16" t="s">
        <v>1487</v>
      </c>
      <c r="G70" s="16" t="s">
        <v>72</v>
      </c>
      <c r="H70" s="16" t="s">
        <v>72</v>
      </c>
      <c r="I70" s="16"/>
      <c r="J70" s="16" t="s">
        <v>72</v>
      </c>
      <c r="K70" s="16" t="s">
        <v>72</v>
      </c>
      <c r="L70" s="16" t="s">
        <v>72</v>
      </c>
      <c r="M70" s="16" t="s">
        <v>72</v>
      </c>
      <c r="N70" s="16"/>
      <c r="O70" s="16" t="s">
        <v>20</v>
      </c>
      <c r="P70" s="16"/>
    </row>
    <row r="71" customFormat="false" ht="15" hidden="false" customHeight="true" outlineLevel="0" collapsed="false">
      <c r="A71" s="16" t="s">
        <v>331</v>
      </c>
      <c r="B71" s="16" t="s">
        <v>352</v>
      </c>
      <c r="C71" s="16" t="s">
        <v>77</v>
      </c>
      <c r="D71" s="16" t="s">
        <v>354</v>
      </c>
      <c r="E71" s="16"/>
      <c r="F71" s="16" t="s">
        <v>1510</v>
      </c>
      <c r="G71" s="16" t="s">
        <v>72</v>
      </c>
      <c r="H71" s="16" t="s">
        <v>72</v>
      </c>
      <c r="I71" s="16"/>
      <c r="J71" s="16" t="s">
        <v>72</v>
      </c>
      <c r="K71" s="16" t="s">
        <v>72</v>
      </c>
      <c r="L71" s="16" t="s">
        <v>72</v>
      </c>
      <c r="M71" s="16" t="s">
        <v>72</v>
      </c>
      <c r="N71" s="16"/>
      <c r="O71" s="16" t="s">
        <v>20</v>
      </c>
      <c r="P71" s="16"/>
    </row>
    <row r="72" customFormat="false" ht="15" hidden="false" customHeight="true" outlineLevel="0" collapsed="false">
      <c r="A72" s="16" t="s">
        <v>331</v>
      </c>
      <c r="B72" s="16" t="s">
        <v>355</v>
      </c>
      <c r="C72" s="16" t="s">
        <v>77</v>
      </c>
      <c r="D72" s="16" t="s">
        <v>357</v>
      </c>
      <c r="E72" s="16"/>
      <c r="F72" s="16" t="s">
        <v>1487</v>
      </c>
      <c r="G72" s="16" t="s">
        <v>72</v>
      </c>
      <c r="H72" s="16" t="s">
        <v>72</v>
      </c>
      <c r="I72" s="16"/>
      <c r="J72" s="16" t="s">
        <v>72</v>
      </c>
      <c r="K72" s="16" t="s">
        <v>72</v>
      </c>
      <c r="L72" s="16" t="s">
        <v>72</v>
      </c>
      <c r="M72" s="16" t="s">
        <v>72</v>
      </c>
      <c r="N72" s="16"/>
      <c r="O72" s="16" t="s">
        <v>20</v>
      </c>
      <c r="P72" s="16"/>
    </row>
    <row r="73" customFormat="false" ht="15" hidden="false" customHeight="true" outlineLevel="0" collapsed="false">
      <c r="A73" s="16" t="s">
        <v>331</v>
      </c>
      <c r="B73" s="16" t="s">
        <v>358</v>
      </c>
      <c r="C73" s="16" t="s">
        <v>240</v>
      </c>
      <c r="D73" s="16" t="s">
        <v>1511</v>
      </c>
      <c r="E73" s="16"/>
      <c r="F73" s="16" t="s">
        <v>1512</v>
      </c>
      <c r="G73" s="16" t="s">
        <v>72</v>
      </c>
      <c r="H73" s="16" t="s">
        <v>72</v>
      </c>
      <c r="I73" s="16"/>
      <c r="J73" s="16" t="s">
        <v>72</v>
      </c>
      <c r="K73" s="16" t="s">
        <v>72</v>
      </c>
      <c r="L73" s="16" t="s">
        <v>72</v>
      </c>
      <c r="M73" s="16" t="s">
        <v>72</v>
      </c>
      <c r="N73" s="16"/>
      <c r="O73" s="16" t="s">
        <v>241</v>
      </c>
      <c r="P73" s="16" t="s">
        <v>1513</v>
      </c>
    </row>
    <row r="74" customFormat="false" ht="15" hidden="false" customHeight="true" outlineLevel="0" collapsed="false">
      <c r="A74" s="16" t="s">
        <v>331</v>
      </c>
      <c r="B74" s="16" t="s">
        <v>361</v>
      </c>
      <c r="C74" s="16" t="s">
        <v>77</v>
      </c>
      <c r="D74" s="16" t="s">
        <v>364</v>
      </c>
      <c r="E74" s="16"/>
      <c r="F74" s="16" t="s">
        <v>1514</v>
      </c>
      <c r="G74" s="16" t="s">
        <v>72</v>
      </c>
      <c r="H74" s="16" t="s">
        <v>72</v>
      </c>
      <c r="I74" s="16"/>
      <c r="J74" s="16" t="s">
        <v>72</v>
      </c>
      <c r="K74" s="16" t="s">
        <v>72</v>
      </c>
      <c r="L74" s="16" t="s">
        <v>72</v>
      </c>
      <c r="M74" s="16" t="s">
        <v>72</v>
      </c>
      <c r="N74" s="16"/>
      <c r="O74" s="16" t="s">
        <v>20</v>
      </c>
      <c r="P74" s="16" t="s">
        <v>1515</v>
      </c>
    </row>
    <row r="75" customFormat="false" ht="15" hidden="false" customHeight="true" outlineLevel="0" collapsed="false">
      <c r="A75" s="16" t="s">
        <v>331</v>
      </c>
      <c r="B75" s="16" t="s">
        <v>365</v>
      </c>
      <c r="C75" s="16" t="s">
        <v>77</v>
      </c>
      <c r="D75" s="16" t="s">
        <v>367</v>
      </c>
      <c r="E75" s="16"/>
      <c r="F75" s="16" t="s">
        <v>1516</v>
      </c>
      <c r="G75" s="16" t="s">
        <v>72</v>
      </c>
      <c r="H75" s="16" t="s">
        <v>72</v>
      </c>
      <c r="I75" s="16"/>
      <c r="J75" s="16" t="s">
        <v>72</v>
      </c>
      <c r="K75" s="16" t="s">
        <v>72</v>
      </c>
      <c r="L75" s="16" t="s">
        <v>72</v>
      </c>
      <c r="M75" s="16" t="s">
        <v>72</v>
      </c>
      <c r="N75" s="16"/>
      <c r="O75" s="16" t="s">
        <v>20</v>
      </c>
      <c r="P75" s="16" t="s">
        <v>1515</v>
      </c>
    </row>
    <row r="76" customFormat="false" ht="15" hidden="false" customHeight="true" outlineLevel="0" collapsed="false">
      <c r="A76" s="16" t="s">
        <v>492</v>
      </c>
      <c r="B76" s="16" t="s">
        <v>368</v>
      </c>
      <c r="C76" s="16" t="s">
        <v>77</v>
      </c>
      <c r="D76" s="16" t="s">
        <v>371</v>
      </c>
      <c r="E76" s="16"/>
      <c r="F76" s="16" t="s">
        <v>1517</v>
      </c>
      <c r="G76" s="16" t="s">
        <v>72</v>
      </c>
      <c r="H76" s="16" t="s">
        <v>72</v>
      </c>
      <c r="I76" s="16"/>
      <c r="J76" s="16" t="s">
        <v>72</v>
      </c>
      <c r="K76" s="16" t="s">
        <v>72</v>
      </c>
      <c r="L76" s="16" t="s">
        <v>72</v>
      </c>
      <c r="M76" s="16" t="s">
        <v>72</v>
      </c>
      <c r="N76" s="16"/>
      <c r="O76" s="16" t="s">
        <v>20</v>
      </c>
      <c r="P76" s="16" t="s">
        <v>1518</v>
      </c>
    </row>
    <row r="77" customFormat="false" ht="15" hidden="false" customHeight="true" outlineLevel="0" collapsed="false">
      <c r="A77" s="16" t="s">
        <v>492</v>
      </c>
      <c r="B77" s="16" t="s">
        <v>374</v>
      </c>
      <c r="C77" s="16" t="s">
        <v>77</v>
      </c>
      <c r="D77" s="16" t="s">
        <v>376</v>
      </c>
      <c r="E77" s="16"/>
      <c r="F77" s="16" t="s">
        <v>1519</v>
      </c>
      <c r="G77" s="16" t="s">
        <v>72</v>
      </c>
      <c r="H77" s="16" t="s">
        <v>72</v>
      </c>
      <c r="I77" s="16"/>
      <c r="J77" s="16" t="s">
        <v>72</v>
      </c>
      <c r="K77" s="16" t="s">
        <v>72</v>
      </c>
      <c r="L77" s="16" t="s">
        <v>72</v>
      </c>
      <c r="M77" s="16" t="s">
        <v>72</v>
      </c>
      <c r="N77" s="16"/>
      <c r="O77" s="16" t="s">
        <v>20</v>
      </c>
      <c r="P77" s="16" t="s">
        <v>1520</v>
      </c>
    </row>
    <row r="78" customFormat="false" ht="15" hidden="false" customHeight="true" outlineLevel="0" collapsed="false">
      <c r="A78" s="16" t="s">
        <v>492</v>
      </c>
      <c r="B78" s="16" t="s">
        <v>378</v>
      </c>
      <c r="C78" s="16" t="s">
        <v>77</v>
      </c>
      <c r="D78" s="16" t="s">
        <v>380</v>
      </c>
      <c r="E78" s="16"/>
      <c r="F78" s="16" t="s">
        <v>1521</v>
      </c>
      <c r="G78" s="16" t="s">
        <v>72</v>
      </c>
      <c r="H78" s="16" t="s">
        <v>72</v>
      </c>
      <c r="I78" s="16"/>
      <c r="J78" s="16" t="s">
        <v>72</v>
      </c>
      <c r="K78" s="16" t="s">
        <v>72</v>
      </c>
      <c r="L78" s="16" t="s">
        <v>72</v>
      </c>
      <c r="M78" s="16" t="s">
        <v>72</v>
      </c>
      <c r="N78" s="16"/>
      <c r="O78" s="16" t="s">
        <v>20</v>
      </c>
      <c r="P78" s="16" t="s">
        <v>1522</v>
      </c>
    </row>
    <row r="79" customFormat="false" ht="15" hidden="false" customHeight="true" outlineLevel="0" collapsed="false">
      <c r="A79" s="16" t="s">
        <v>492</v>
      </c>
      <c r="B79" s="16" t="s">
        <v>382</v>
      </c>
      <c r="C79" s="16" t="s">
        <v>77</v>
      </c>
      <c r="D79" s="16" t="s">
        <v>384</v>
      </c>
      <c r="E79" s="16" t="s">
        <v>385</v>
      </c>
      <c r="F79" s="16" t="s">
        <v>1523</v>
      </c>
      <c r="G79" s="16" t="s">
        <v>72</v>
      </c>
      <c r="H79" s="16" t="s">
        <v>72</v>
      </c>
      <c r="I79" s="16"/>
      <c r="J79" s="16" t="s">
        <v>72</v>
      </c>
      <c r="K79" s="16" t="s">
        <v>72</v>
      </c>
      <c r="L79" s="16" t="s">
        <v>72</v>
      </c>
      <c r="M79" s="16" t="s">
        <v>72</v>
      </c>
      <c r="N79" s="16"/>
      <c r="O79" s="16" t="s">
        <v>20</v>
      </c>
      <c r="P79" s="16" t="s">
        <v>1524</v>
      </c>
    </row>
    <row r="80" customFormat="false" ht="15" hidden="false" customHeight="true" outlineLevel="0" collapsed="false">
      <c r="A80" s="16" t="s">
        <v>492</v>
      </c>
      <c r="B80" s="16" t="s">
        <v>387</v>
      </c>
      <c r="C80" s="16" t="s">
        <v>240</v>
      </c>
      <c r="D80" s="16" t="s">
        <v>390</v>
      </c>
      <c r="E80" s="16"/>
      <c r="F80" s="16" t="s">
        <v>1525</v>
      </c>
      <c r="G80" s="16" t="s">
        <v>72</v>
      </c>
      <c r="H80" s="16" t="s">
        <v>72</v>
      </c>
      <c r="I80" s="16"/>
      <c r="J80" s="16" t="s">
        <v>72</v>
      </c>
      <c r="K80" s="16" t="s">
        <v>72</v>
      </c>
      <c r="L80" s="16" t="s">
        <v>72</v>
      </c>
      <c r="M80" s="16" t="s">
        <v>72</v>
      </c>
      <c r="N80" s="16"/>
      <c r="O80" s="16" t="s">
        <v>391</v>
      </c>
      <c r="P80" s="16" t="s">
        <v>1526</v>
      </c>
    </row>
    <row r="81" customFormat="false" ht="15" hidden="false" customHeight="true" outlineLevel="0" collapsed="false">
      <c r="A81" s="16" t="s">
        <v>492</v>
      </c>
      <c r="B81" s="16" t="s">
        <v>393</v>
      </c>
      <c r="C81" s="16" t="s">
        <v>77</v>
      </c>
      <c r="D81" s="16" t="s">
        <v>395</v>
      </c>
      <c r="E81" s="16"/>
      <c r="F81" s="16" t="s">
        <v>1527</v>
      </c>
      <c r="G81" s="16" t="s">
        <v>72</v>
      </c>
      <c r="H81" s="16" t="s">
        <v>72</v>
      </c>
      <c r="I81" s="16"/>
      <c r="J81" s="16" t="s">
        <v>72</v>
      </c>
      <c r="K81" s="16" t="s">
        <v>72</v>
      </c>
      <c r="L81" s="16" t="s">
        <v>72</v>
      </c>
      <c r="M81" s="16" t="s">
        <v>72</v>
      </c>
      <c r="N81" s="16"/>
      <c r="O81" s="16" t="s">
        <v>20</v>
      </c>
      <c r="P81" s="16" t="s">
        <v>1528</v>
      </c>
    </row>
    <row r="82" customFormat="false" ht="15" hidden="false" customHeight="true" outlineLevel="0" collapsed="false">
      <c r="A82" s="16" t="s">
        <v>492</v>
      </c>
      <c r="B82" s="16" t="s">
        <v>397</v>
      </c>
      <c r="C82" s="16" t="s">
        <v>77</v>
      </c>
      <c r="D82" s="16" t="s">
        <v>399</v>
      </c>
      <c r="E82" s="16"/>
      <c r="F82" s="16" t="s">
        <v>1529</v>
      </c>
      <c r="G82" s="16" t="s">
        <v>72</v>
      </c>
      <c r="H82" s="16" t="s">
        <v>72</v>
      </c>
      <c r="I82" s="16"/>
      <c r="J82" s="16" t="s">
        <v>72</v>
      </c>
      <c r="K82" s="16" t="s">
        <v>72</v>
      </c>
      <c r="L82" s="16" t="s">
        <v>72</v>
      </c>
      <c r="M82" s="16" t="s">
        <v>72</v>
      </c>
      <c r="N82" s="16"/>
      <c r="O82" s="16" t="s">
        <v>20</v>
      </c>
      <c r="P82" s="16" t="s">
        <v>1530</v>
      </c>
    </row>
    <row r="83" customFormat="false" ht="15" hidden="false" customHeight="true" outlineLevel="0" collapsed="false">
      <c r="A83" s="16" t="s">
        <v>492</v>
      </c>
      <c r="B83" s="16" t="s">
        <v>401</v>
      </c>
      <c r="C83" s="16" t="s">
        <v>77</v>
      </c>
      <c r="D83" s="16" t="s">
        <v>403</v>
      </c>
      <c r="E83" s="16"/>
      <c r="F83" s="16" t="s">
        <v>1531</v>
      </c>
      <c r="G83" s="16" t="s">
        <v>72</v>
      </c>
      <c r="H83" s="16" t="s">
        <v>72</v>
      </c>
      <c r="I83" s="16"/>
      <c r="J83" s="16" t="s">
        <v>72</v>
      </c>
      <c r="K83" s="16" t="s">
        <v>72</v>
      </c>
      <c r="L83" s="16" t="s">
        <v>72</v>
      </c>
      <c r="M83" s="16" t="s">
        <v>72</v>
      </c>
      <c r="N83" s="16"/>
      <c r="O83" s="16" t="s">
        <v>20</v>
      </c>
      <c r="P83" s="16" t="s">
        <v>1532</v>
      </c>
    </row>
    <row r="84" customFormat="false" ht="15" hidden="false" customHeight="true" outlineLevel="0" collapsed="false">
      <c r="A84" s="16" t="s">
        <v>492</v>
      </c>
      <c r="B84" s="16" t="s">
        <v>405</v>
      </c>
      <c r="C84" s="16" t="s">
        <v>240</v>
      </c>
      <c r="D84" s="16" t="s">
        <v>408</v>
      </c>
      <c r="E84" s="16"/>
      <c r="F84" s="16" t="s">
        <v>1533</v>
      </c>
      <c r="G84" s="16" t="s">
        <v>72</v>
      </c>
      <c r="H84" s="16" t="s">
        <v>72</v>
      </c>
      <c r="I84" s="16"/>
      <c r="J84" s="16" t="s">
        <v>72</v>
      </c>
      <c r="K84" s="16" t="s">
        <v>72</v>
      </c>
      <c r="L84" s="16" t="s">
        <v>72</v>
      </c>
      <c r="M84" s="16" t="s">
        <v>72</v>
      </c>
      <c r="N84" s="16"/>
      <c r="O84" s="16" t="s">
        <v>1489</v>
      </c>
      <c r="P84" s="16" t="s">
        <v>1534</v>
      </c>
    </row>
    <row r="85" customFormat="false" ht="15" hidden="false" customHeight="true" outlineLevel="0" collapsed="false">
      <c r="A85" s="16" t="s">
        <v>492</v>
      </c>
      <c r="B85" s="16" t="s">
        <v>410</v>
      </c>
      <c r="C85" s="16" t="s">
        <v>77</v>
      </c>
      <c r="D85" s="16" t="s">
        <v>412</v>
      </c>
      <c r="E85" s="16"/>
      <c r="F85" s="16" t="s">
        <v>1535</v>
      </c>
      <c r="G85" s="16" t="s">
        <v>72</v>
      </c>
      <c r="H85" s="16" t="s">
        <v>72</v>
      </c>
      <c r="I85" s="16"/>
      <c r="J85" s="16" t="s">
        <v>72</v>
      </c>
      <c r="K85" s="16" t="s">
        <v>72</v>
      </c>
      <c r="L85" s="16" t="s">
        <v>72</v>
      </c>
      <c r="M85" s="16" t="s">
        <v>72</v>
      </c>
      <c r="N85" s="16"/>
      <c r="O85" s="16" t="s">
        <v>20</v>
      </c>
      <c r="P85" s="16" t="s">
        <v>1536</v>
      </c>
    </row>
    <row r="86" customFormat="false" ht="15" hidden="false" customHeight="true" outlineLevel="0" collapsed="false">
      <c r="A86" s="16" t="s">
        <v>492</v>
      </c>
      <c r="B86" s="16" t="s">
        <v>414</v>
      </c>
      <c r="C86" s="16" t="s">
        <v>77</v>
      </c>
      <c r="D86" s="16" t="s">
        <v>417</v>
      </c>
      <c r="E86" s="16" t="s">
        <v>418</v>
      </c>
      <c r="F86" s="16" t="s">
        <v>1537</v>
      </c>
      <c r="G86" s="16" t="s">
        <v>72</v>
      </c>
      <c r="H86" s="16" t="s">
        <v>72</v>
      </c>
      <c r="I86" s="16"/>
      <c r="J86" s="16" t="s">
        <v>72</v>
      </c>
      <c r="K86" s="16" t="s">
        <v>72</v>
      </c>
      <c r="L86" s="16" t="s">
        <v>72</v>
      </c>
      <c r="M86" s="16" t="s">
        <v>72</v>
      </c>
      <c r="N86" s="16"/>
      <c r="O86" s="16" t="s">
        <v>20</v>
      </c>
      <c r="P86" s="16" t="s">
        <v>1538</v>
      </c>
    </row>
    <row r="87" customFormat="false" ht="15" hidden="false" customHeight="true" outlineLevel="0" collapsed="false">
      <c r="A87" s="16" t="s">
        <v>492</v>
      </c>
      <c r="B87" s="16" t="s">
        <v>420</v>
      </c>
      <c r="C87" s="16" t="s">
        <v>77</v>
      </c>
      <c r="D87" s="16" t="s">
        <v>423</v>
      </c>
      <c r="E87" s="16" t="s">
        <v>424</v>
      </c>
      <c r="F87" s="16" t="s">
        <v>1539</v>
      </c>
      <c r="G87" s="16" t="s">
        <v>72</v>
      </c>
      <c r="H87" s="16" t="s">
        <v>72</v>
      </c>
      <c r="I87" s="16"/>
      <c r="J87" s="16" t="s">
        <v>72</v>
      </c>
      <c r="K87" s="16" t="s">
        <v>72</v>
      </c>
      <c r="L87" s="16" t="s">
        <v>72</v>
      </c>
      <c r="M87" s="16" t="s">
        <v>72</v>
      </c>
      <c r="N87" s="16"/>
      <c r="O87" s="16" t="s">
        <v>20</v>
      </c>
      <c r="P87" s="16" t="s">
        <v>1540</v>
      </c>
    </row>
    <row r="88" customFormat="false" ht="15" hidden="false" customHeight="true" outlineLevel="0" collapsed="false">
      <c r="A88" s="16" t="s">
        <v>492</v>
      </c>
      <c r="B88" s="16" t="s">
        <v>426</v>
      </c>
      <c r="C88" s="16" t="s">
        <v>77</v>
      </c>
      <c r="D88" s="16" t="s">
        <v>429</v>
      </c>
      <c r="E88" s="16" t="s">
        <v>430</v>
      </c>
      <c r="F88" s="16" t="s">
        <v>1541</v>
      </c>
      <c r="G88" s="16" t="s">
        <v>72</v>
      </c>
      <c r="H88" s="16" t="s">
        <v>72</v>
      </c>
      <c r="I88" s="16"/>
      <c r="J88" s="16" t="s">
        <v>72</v>
      </c>
      <c r="K88" s="16" t="s">
        <v>72</v>
      </c>
      <c r="L88" s="16" t="s">
        <v>72</v>
      </c>
      <c r="M88" s="16" t="s">
        <v>72</v>
      </c>
      <c r="N88" s="16"/>
      <c r="O88" s="16" t="s">
        <v>20</v>
      </c>
      <c r="P88" s="16" t="s">
        <v>1542</v>
      </c>
    </row>
    <row r="89" customFormat="false" ht="15" hidden="false" customHeight="true" outlineLevel="0" collapsed="false">
      <c r="A89" s="16" t="s">
        <v>492</v>
      </c>
      <c r="B89" s="16" t="s">
        <v>432</v>
      </c>
      <c r="C89" s="16" t="s">
        <v>77</v>
      </c>
      <c r="D89" s="16" t="s">
        <v>435</v>
      </c>
      <c r="E89" s="16" t="s">
        <v>436</v>
      </c>
      <c r="F89" s="16" t="s">
        <v>1543</v>
      </c>
      <c r="G89" s="16" t="s">
        <v>72</v>
      </c>
      <c r="H89" s="16" t="s">
        <v>72</v>
      </c>
      <c r="I89" s="16"/>
      <c r="J89" s="16" t="s">
        <v>72</v>
      </c>
      <c r="K89" s="16" t="s">
        <v>72</v>
      </c>
      <c r="L89" s="16" t="s">
        <v>72</v>
      </c>
      <c r="M89" s="16" t="s">
        <v>72</v>
      </c>
      <c r="N89" s="16"/>
      <c r="O89" s="16" t="s">
        <v>20</v>
      </c>
      <c r="P89" s="16" t="s">
        <v>1544</v>
      </c>
    </row>
    <row r="90" customFormat="false" ht="15" hidden="false" customHeight="true" outlineLevel="0" collapsed="false">
      <c r="A90" s="16" t="s">
        <v>492</v>
      </c>
      <c r="B90" s="16" t="s">
        <v>438</v>
      </c>
      <c r="C90" s="16" t="s">
        <v>77</v>
      </c>
      <c r="D90" s="16" t="s">
        <v>441</v>
      </c>
      <c r="E90" s="16"/>
      <c r="F90" s="16" t="s">
        <v>1545</v>
      </c>
      <c r="G90" s="16" t="s">
        <v>72</v>
      </c>
      <c r="H90" s="16" t="s">
        <v>72</v>
      </c>
      <c r="I90" s="16"/>
      <c r="J90" s="16" t="s">
        <v>72</v>
      </c>
      <c r="K90" s="16" t="s">
        <v>72</v>
      </c>
      <c r="L90" s="16" t="s">
        <v>72</v>
      </c>
      <c r="M90" s="16" t="s">
        <v>72</v>
      </c>
      <c r="N90" s="16"/>
      <c r="O90" s="16" t="s">
        <v>20</v>
      </c>
      <c r="P90" s="16" t="s">
        <v>1546</v>
      </c>
    </row>
    <row r="91" customFormat="false" ht="15" hidden="false" customHeight="true" outlineLevel="0" collapsed="false">
      <c r="A91" s="16" t="s">
        <v>492</v>
      </c>
      <c r="B91" s="16" t="s">
        <v>443</v>
      </c>
      <c r="C91" s="16" t="s">
        <v>77</v>
      </c>
      <c r="D91" s="16" t="s">
        <v>445</v>
      </c>
      <c r="E91" s="16"/>
      <c r="F91" s="16" t="s">
        <v>1547</v>
      </c>
      <c r="G91" s="16" t="s">
        <v>72</v>
      </c>
      <c r="H91" s="16" t="s">
        <v>72</v>
      </c>
      <c r="I91" s="16"/>
      <c r="J91" s="16" t="s">
        <v>72</v>
      </c>
      <c r="K91" s="16" t="s">
        <v>72</v>
      </c>
      <c r="L91" s="16" t="s">
        <v>72</v>
      </c>
      <c r="M91" s="16" t="s">
        <v>72</v>
      </c>
      <c r="N91" s="16"/>
      <c r="O91" s="16" t="s">
        <v>20</v>
      </c>
      <c r="P91" s="16" t="s">
        <v>1548</v>
      </c>
    </row>
    <row r="92" customFormat="false" ht="15" hidden="false" customHeight="true" outlineLevel="0" collapsed="false">
      <c r="A92" s="16" t="s">
        <v>492</v>
      </c>
      <c r="B92" s="16" t="s">
        <v>447</v>
      </c>
      <c r="C92" s="16" t="s">
        <v>77</v>
      </c>
      <c r="D92" s="16" t="s">
        <v>449</v>
      </c>
      <c r="E92" s="16"/>
      <c r="F92" s="16" t="s">
        <v>1549</v>
      </c>
      <c r="G92" s="16" t="s">
        <v>72</v>
      </c>
      <c r="H92" s="16" t="s">
        <v>72</v>
      </c>
      <c r="I92" s="16"/>
      <c r="J92" s="16" t="s">
        <v>72</v>
      </c>
      <c r="K92" s="16" t="s">
        <v>72</v>
      </c>
      <c r="L92" s="16" t="s">
        <v>72</v>
      </c>
      <c r="M92" s="16" t="s">
        <v>72</v>
      </c>
      <c r="N92" s="16"/>
      <c r="O92" s="16" t="s">
        <v>20</v>
      </c>
      <c r="P92" s="16" t="s">
        <v>1550</v>
      </c>
    </row>
    <row r="93" customFormat="false" ht="15" hidden="false" customHeight="true" outlineLevel="0" collapsed="false">
      <c r="A93" s="16" t="s">
        <v>492</v>
      </c>
      <c r="B93" s="16" t="s">
        <v>451</v>
      </c>
      <c r="C93" s="16" t="s">
        <v>77</v>
      </c>
      <c r="D93" s="16" t="s">
        <v>454</v>
      </c>
      <c r="E93" s="16"/>
      <c r="F93" s="16" t="s">
        <v>1551</v>
      </c>
      <c r="G93" s="16" t="s">
        <v>72</v>
      </c>
      <c r="H93" s="16" t="s">
        <v>72</v>
      </c>
      <c r="I93" s="16"/>
      <c r="J93" s="16" t="s">
        <v>72</v>
      </c>
      <c r="K93" s="16" t="s">
        <v>72</v>
      </c>
      <c r="L93" s="16" t="s">
        <v>72</v>
      </c>
      <c r="M93" s="16" t="s">
        <v>72</v>
      </c>
      <c r="N93" s="16"/>
      <c r="O93" s="16" t="s">
        <v>20</v>
      </c>
      <c r="P93" s="16" t="s">
        <v>1552</v>
      </c>
    </row>
    <row r="94" customFormat="false" ht="15" hidden="false" customHeight="true" outlineLevel="0" collapsed="false">
      <c r="A94" s="16" t="s">
        <v>492</v>
      </c>
      <c r="B94" s="16" t="s">
        <v>456</v>
      </c>
      <c r="C94" s="16" t="s">
        <v>77</v>
      </c>
      <c r="D94" s="16" t="s">
        <v>458</v>
      </c>
      <c r="E94" s="16"/>
      <c r="F94" s="16" t="s">
        <v>1553</v>
      </c>
      <c r="G94" s="16" t="s">
        <v>72</v>
      </c>
      <c r="H94" s="16" t="s">
        <v>72</v>
      </c>
      <c r="I94" s="16"/>
      <c r="J94" s="16" t="s">
        <v>72</v>
      </c>
      <c r="K94" s="16" t="s">
        <v>72</v>
      </c>
      <c r="L94" s="16" t="s">
        <v>72</v>
      </c>
      <c r="M94" s="16" t="s">
        <v>72</v>
      </c>
      <c r="N94" s="16"/>
      <c r="O94" s="16" t="s">
        <v>20</v>
      </c>
      <c r="P94" s="16" t="s">
        <v>1554</v>
      </c>
    </row>
    <row r="95" customFormat="false" ht="15" hidden="false" customHeight="true" outlineLevel="0" collapsed="false">
      <c r="A95" s="16" t="s">
        <v>492</v>
      </c>
      <c r="B95" s="16" t="s">
        <v>460</v>
      </c>
      <c r="C95" s="16" t="s">
        <v>77</v>
      </c>
      <c r="D95" s="16" t="s">
        <v>463</v>
      </c>
      <c r="E95" s="16"/>
      <c r="F95" s="16" t="s">
        <v>1555</v>
      </c>
      <c r="G95" s="16" t="s">
        <v>72</v>
      </c>
      <c r="H95" s="16" t="s">
        <v>72</v>
      </c>
      <c r="I95" s="16"/>
      <c r="J95" s="16" t="s">
        <v>72</v>
      </c>
      <c r="K95" s="16" t="s">
        <v>72</v>
      </c>
      <c r="L95" s="16" t="s">
        <v>72</v>
      </c>
      <c r="M95" s="16" t="s">
        <v>72</v>
      </c>
      <c r="N95" s="16"/>
      <c r="O95" s="16" t="s">
        <v>20</v>
      </c>
      <c r="P95" s="16" t="s">
        <v>1556</v>
      </c>
    </row>
    <row r="96" customFormat="false" ht="15" hidden="false" customHeight="true" outlineLevel="0" collapsed="false">
      <c r="A96" s="16" t="s">
        <v>492</v>
      </c>
      <c r="B96" s="16" t="s">
        <v>465</v>
      </c>
      <c r="C96" s="16" t="s">
        <v>240</v>
      </c>
      <c r="D96" s="16" t="s">
        <v>467</v>
      </c>
      <c r="E96" s="16"/>
      <c r="F96" s="16" t="s">
        <v>1557</v>
      </c>
      <c r="G96" s="16" t="s">
        <v>72</v>
      </c>
      <c r="H96" s="16" t="s">
        <v>72</v>
      </c>
      <c r="I96" s="16"/>
      <c r="J96" s="16" t="s">
        <v>72</v>
      </c>
      <c r="K96" s="16" t="s">
        <v>72</v>
      </c>
      <c r="L96" s="16" t="s">
        <v>72</v>
      </c>
      <c r="M96" s="16" t="s">
        <v>72</v>
      </c>
      <c r="N96" s="16"/>
      <c r="O96" s="16" t="s">
        <v>1489</v>
      </c>
      <c r="P96" s="16" t="s">
        <v>1558</v>
      </c>
    </row>
    <row r="97" customFormat="false" ht="15" hidden="false" customHeight="true" outlineLevel="0" collapsed="false">
      <c r="A97" s="16" t="s">
        <v>492</v>
      </c>
      <c r="B97" s="16" t="s">
        <v>469</v>
      </c>
      <c r="C97" s="16" t="s">
        <v>240</v>
      </c>
      <c r="D97" s="16" t="s">
        <v>471</v>
      </c>
      <c r="E97" s="16"/>
      <c r="F97" s="16" t="s">
        <v>1559</v>
      </c>
      <c r="G97" s="16" t="s">
        <v>72</v>
      </c>
      <c r="H97" s="16" t="s">
        <v>72</v>
      </c>
      <c r="I97" s="16"/>
      <c r="J97" s="16" t="s">
        <v>72</v>
      </c>
      <c r="K97" s="16" t="s">
        <v>72</v>
      </c>
      <c r="L97" s="16" t="s">
        <v>72</v>
      </c>
      <c r="M97" s="16" t="s">
        <v>72</v>
      </c>
      <c r="N97" s="16"/>
      <c r="O97" s="16" t="s">
        <v>472</v>
      </c>
      <c r="P97" s="16" t="s">
        <v>1560</v>
      </c>
    </row>
    <row r="98" customFormat="false" ht="15" hidden="false" customHeight="true" outlineLevel="0" collapsed="false">
      <c r="A98" s="16" t="s">
        <v>492</v>
      </c>
      <c r="B98" s="16" t="s">
        <v>474</v>
      </c>
      <c r="C98" s="16" t="s">
        <v>240</v>
      </c>
      <c r="D98" s="16" t="s">
        <v>476</v>
      </c>
      <c r="E98" s="16"/>
      <c r="F98" s="16" t="s">
        <v>1561</v>
      </c>
      <c r="G98" s="16" t="s">
        <v>72</v>
      </c>
      <c r="H98" s="16" t="s">
        <v>72</v>
      </c>
      <c r="I98" s="16"/>
      <c r="J98" s="16" t="s">
        <v>72</v>
      </c>
      <c r="K98" s="16" t="s">
        <v>72</v>
      </c>
      <c r="L98" s="16" t="s">
        <v>72</v>
      </c>
      <c r="M98" s="16" t="s">
        <v>72</v>
      </c>
      <c r="N98" s="16"/>
      <c r="O98" s="16" t="s">
        <v>1489</v>
      </c>
      <c r="P98" s="16" t="s">
        <v>1562</v>
      </c>
    </row>
    <row r="99" customFormat="false" ht="15" hidden="false" customHeight="true" outlineLevel="0" collapsed="false">
      <c r="A99" s="16" t="s">
        <v>492</v>
      </c>
      <c r="B99" s="16" t="s">
        <v>478</v>
      </c>
      <c r="C99" s="16" t="s">
        <v>240</v>
      </c>
      <c r="D99" s="16" t="s">
        <v>481</v>
      </c>
      <c r="E99" s="16"/>
      <c r="F99" s="16" t="s">
        <v>1563</v>
      </c>
      <c r="G99" s="16" t="s">
        <v>72</v>
      </c>
      <c r="H99" s="16" t="s">
        <v>72</v>
      </c>
      <c r="I99" s="16"/>
      <c r="J99" s="16" t="s">
        <v>72</v>
      </c>
      <c r="K99" s="16" t="s">
        <v>72</v>
      </c>
      <c r="L99" s="16" t="s">
        <v>72</v>
      </c>
      <c r="M99" s="16" t="s">
        <v>72</v>
      </c>
      <c r="N99" s="16"/>
      <c r="O99" s="16" t="s">
        <v>1489</v>
      </c>
      <c r="P99" s="16" t="s">
        <v>1564</v>
      </c>
    </row>
    <row r="100" customFormat="false" ht="15" hidden="false" customHeight="true" outlineLevel="0" collapsed="false">
      <c r="A100" s="16" t="s">
        <v>492</v>
      </c>
      <c r="B100" s="16" t="s">
        <v>483</v>
      </c>
      <c r="C100" s="16" t="s">
        <v>77</v>
      </c>
      <c r="D100" s="16" t="s">
        <v>485</v>
      </c>
      <c r="E100" s="16"/>
      <c r="F100" s="16" t="s">
        <v>1565</v>
      </c>
      <c r="G100" s="16" t="s">
        <v>72</v>
      </c>
      <c r="H100" s="16" t="s">
        <v>72</v>
      </c>
      <c r="I100" s="16"/>
      <c r="J100" s="16" t="s">
        <v>72</v>
      </c>
      <c r="K100" s="16" t="s">
        <v>72</v>
      </c>
      <c r="L100" s="16" t="s">
        <v>72</v>
      </c>
      <c r="M100" s="16" t="s">
        <v>72</v>
      </c>
      <c r="N100" s="16"/>
      <c r="O100" s="16" t="s">
        <v>20</v>
      </c>
      <c r="P100" s="16" t="s">
        <v>1566</v>
      </c>
    </row>
    <row r="101" customFormat="false" ht="15" hidden="false" customHeight="true" outlineLevel="0" collapsed="false">
      <c r="A101" s="16" t="s">
        <v>492</v>
      </c>
      <c r="B101" s="16" t="s">
        <v>487</v>
      </c>
      <c r="C101" s="16" t="s">
        <v>77</v>
      </c>
      <c r="D101" s="16" t="s">
        <v>490</v>
      </c>
      <c r="E101" s="16" t="s">
        <v>491</v>
      </c>
      <c r="F101" s="16" t="s">
        <v>1567</v>
      </c>
      <c r="G101" s="16" t="s">
        <v>72</v>
      </c>
      <c r="H101" s="16" t="s">
        <v>72</v>
      </c>
      <c r="I101" s="16"/>
      <c r="J101" s="16" t="s">
        <v>72</v>
      </c>
      <c r="K101" s="16" t="s">
        <v>72</v>
      </c>
      <c r="L101" s="16" t="s">
        <v>72</v>
      </c>
      <c r="M101" s="16" t="s">
        <v>72</v>
      </c>
      <c r="N101" s="16"/>
      <c r="O101" s="16" t="s">
        <v>20</v>
      </c>
      <c r="P101" s="16" t="s">
        <v>1568</v>
      </c>
    </row>
    <row r="102" customFormat="false" ht="15" hidden="false" customHeight="true" outlineLevel="0" collapsed="false">
      <c r="A102" s="16" t="s">
        <v>492</v>
      </c>
      <c r="B102" s="16" t="s">
        <v>243</v>
      </c>
      <c r="C102" s="16" t="s">
        <v>77</v>
      </c>
      <c r="D102" s="16" t="s">
        <v>495</v>
      </c>
      <c r="E102" s="16" t="s">
        <v>496</v>
      </c>
      <c r="F102" s="16" t="s">
        <v>1569</v>
      </c>
      <c r="G102" s="16" t="s">
        <v>72</v>
      </c>
      <c r="H102" s="16" t="s">
        <v>72</v>
      </c>
      <c r="I102" s="16"/>
      <c r="J102" s="16" t="s">
        <v>72</v>
      </c>
      <c r="K102" s="16" t="s">
        <v>72</v>
      </c>
      <c r="L102" s="16" t="s">
        <v>72</v>
      </c>
      <c r="M102" s="16" t="s">
        <v>72</v>
      </c>
      <c r="N102" s="16"/>
      <c r="O102" s="16" t="s">
        <v>20</v>
      </c>
      <c r="P102" s="16" t="s">
        <v>1570</v>
      </c>
    </row>
    <row r="103" customFormat="false" ht="15" hidden="false" customHeight="true" outlineLevel="0" collapsed="false">
      <c r="A103" s="16" t="s">
        <v>492</v>
      </c>
      <c r="B103" s="16" t="s">
        <v>498</v>
      </c>
      <c r="C103" s="16" t="s">
        <v>77</v>
      </c>
      <c r="D103" s="16" t="s">
        <v>495</v>
      </c>
      <c r="E103" s="16" t="s">
        <v>500</v>
      </c>
      <c r="F103" s="16" t="s">
        <v>1571</v>
      </c>
      <c r="G103" s="16" t="s">
        <v>71</v>
      </c>
      <c r="H103" s="16" t="s">
        <v>72</v>
      </c>
      <c r="I103" s="16"/>
      <c r="J103" s="16" t="s">
        <v>72</v>
      </c>
      <c r="K103" s="16" t="s">
        <v>72</v>
      </c>
      <c r="L103" s="16" t="s">
        <v>72</v>
      </c>
      <c r="M103" s="16" t="s">
        <v>72</v>
      </c>
      <c r="N103" s="16"/>
      <c r="O103" s="16" t="s">
        <v>105</v>
      </c>
      <c r="P103" s="16" t="s">
        <v>1572</v>
      </c>
    </row>
    <row r="104" customFormat="false" ht="15" hidden="false" customHeight="true" outlineLevel="0" collapsed="false">
      <c r="A104" s="16" t="s">
        <v>492</v>
      </c>
      <c r="B104" s="16" t="s">
        <v>502</v>
      </c>
      <c r="C104" s="16" t="s">
        <v>77</v>
      </c>
      <c r="D104" s="16" t="s">
        <v>505</v>
      </c>
      <c r="E104" s="16" t="s">
        <v>506</v>
      </c>
      <c r="F104" s="16" t="s">
        <v>1573</v>
      </c>
      <c r="G104" s="16" t="s">
        <v>72</v>
      </c>
      <c r="H104" s="16" t="s">
        <v>72</v>
      </c>
      <c r="I104" s="16"/>
      <c r="J104" s="16" t="s">
        <v>72</v>
      </c>
      <c r="K104" s="16" t="s">
        <v>72</v>
      </c>
      <c r="L104" s="16" t="s">
        <v>72</v>
      </c>
      <c r="M104" s="16" t="s">
        <v>72</v>
      </c>
      <c r="N104" s="16"/>
      <c r="O104" s="16" t="s">
        <v>20</v>
      </c>
      <c r="P104" s="16" t="s">
        <v>1574</v>
      </c>
    </row>
    <row r="105" customFormat="false" ht="15" hidden="false" customHeight="true" outlineLevel="0" collapsed="false">
      <c r="A105" s="16" t="s">
        <v>492</v>
      </c>
      <c r="B105" s="16" t="s">
        <v>508</v>
      </c>
      <c r="C105" s="16" t="s">
        <v>77</v>
      </c>
      <c r="D105" s="16" t="s">
        <v>510</v>
      </c>
      <c r="E105" s="16"/>
      <c r="F105" s="16" t="s">
        <v>1575</v>
      </c>
      <c r="G105" s="16" t="s">
        <v>72</v>
      </c>
      <c r="H105" s="16" t="s">
        <v>72</v>
      </c>
      <c r="I105" s="16"/>
      <c r="J105" s="16" t="s">
        <v>72</v>
      </c>
      <c r="K105" s="16" t="s">
        <v>72</v>
      </c>
      <c r="L105" s="16" t="s">
        <v>72</v>
      </c>
      <c r="M105" s="16" t="s">
        <v>72</v>
      </c>
      <c r="N105" s="16"/>
      <c r="O105" s="16" t="s">
        <v>20</v>
      </c>
      <c r="P105" s="16" t="s">
        <v>1576</v>
      </c>
    </row>
    <row r="106" customFormat="false" ht="15" hidden="false" customHeight="true" outlineLevel="0" collapsed="false">
      <c r="A106" s="16" t="s">
        <v>492</v>
      </c>
      <c r="B106" s="16" t="s">
        <v>512</v>
      </c>
      <c r="C106" s="16" t="s">
        <v>77</v>
      </c>
      <c r="D106" s="16" t="s">
        <v>515</v>
      </c>
      <c r="E106" s="16" t="s">
        <v>516</v>
      </c>
      <c r="F106" s="16" t="s">
        <v>1577</v>
      </c>
      <c r="G106" s="16" t="s">
        <v>72</v>
      </c>
      <c r="H106" s="16" t="s">
        <v>72</v>
      </c>
      <c r="I106" s="16"/>
      <c r="J106" s="16" t="s">
        <v>72</v>
      </c>
      <c r="K106" s="16" t="s">
        <v>72</v>
      </c>
      <c r="L106" s="16" t="s">
        <v>72</v>
      </c>
      <c r="M106" s="16" t="s">
        <v>72</v>
      </c>
      <c r="N106" s="16"/>
      <c r="O106" s="16" t="s">
        <v>20</v>
      </c>
      <c r="P106" s="16" t="s">
        <v>1578</v>
      </c>
    </row>
    <row r="107" customFormat="false" ht="15" hidden="false" customHeight="true" outlineLevel="0" collapsed="false">
      <c r="A107" s="16" t="s">
        <v>372</v>
      </c>
      <c r="B107" s="16" t="s">
        <v>518</v>
      </c>
      <c r="C107" s="16" t="s">
        <v>77</v>
      </c>
      <c r="D107" s="16" t="s">
        <v>520</v>
      </c>
      <c r="E107" s="16"/>
      <c r="F107" s="16" t="s">
        <v>1579</v>
      </c>
      <c r="G107" s="16" t="s">
        <v>72</v>
      </c>
      <c r="H107" s="16" t="s">
        <v>72</v>
      </c>
      <c r="I107" s="16"/>
      <c r="J107" s="16" t="s">
        <v>72</v>
      </c>
      <c r="K107" s="16" t="s">
        <v>72</v>
      </c>
      <c r="L107" s="16" t="s">
        <v>72</v>
      </c>
      <c r="M107" s="16" t="s">
        <v>72</v>
      </c>
      <c r="N107" s="16"/>
      <c r="O107" s="16" t="s">
        <v>20</v>
      </c>
      <c r="P107" s="16" t="s">
        <v>1580</v>
      </c>
    </row>
    <row r="108" customFormat="false" ht="15" hidden="false" customHeight="true" outlineLevel="0" collapsed="false">
      <c r="A108" s="16" t="s">
        <v>372</v>
      </c>
      <c r="B108" s="16" t="s">
        <v>522</v>
      </c>
      <c r="C108" s="16" t="s">
        <v>77</v>
      </c>
      <c r="D108" s="16" t="s">
        <v>525</v>
      </c>
      <c r="E108" s="16" t="s">
        <v>526</v>
      </c>
      <c r="F108" s="16" t="s">
        <v>1581</v>
      </c>
      <c r="G108" s="16" t="s">
        <v>72</v>
      </c>
      <c r="H108" s="16" t="s">
        <v>72</v>
      </c>
      <c r="I108" s="16"/>
      <c r="J108" s="16" t="s">
        <v>72</v>
      </c>
      <c r="K108" s="16" t="s">
        <v>72</v>
      </c>
      <c r="L108" s="16" t="s">
        <v>72</v>
      </c>
      <c r="M108" s="16" t="s">
        <v>72</v>
      </c>
      <c r="N108" s="16"/>
      <c r="O108" s="16" t="s">
        <v>20</v>
      </c>
      <c r="P108" s="16" t="s">
        <v>1582</v>
      </c>
    </row>
    <row r="109" customFormat="false" ht="15" hidden="false" customHeight="true" outlineLevel="0" collapsed="false">
      <c r="A109" s="16" t="s">
        <v>372</v>
      </c>
      <c r="B109" s="16" t="s">
        <v>528</v>
      </c>
      <c r="C109" s="16" t="s">
        <v>77</v>
      </c>
      <c r="D109" s="16" t="s">
        <v>530</v>
      </c>
      <c r="E109" s="16"/>
      <c r="F109" s="16" t="s">
        <v>1583</v>
      </c>
      <c r="G109" s="16" t="s">
        <v>72</v>
      </c>
      <c r="H109" s="16" t="s">
        <v>72</v>
      </c>
      <c r="I109" s="16"/>
      <c r="J109" s="16" t="s">
        <v>72</v>
      </c>
      <c r="K109" s="16" t="s">
        <v>72</v>
      </c>
      <c r="L109" s="16" t="s">
        <v>72</v>
      </c>
      <c r="M109" s="16" t="s">
        <v>72</v>
      </c>
      <c r="N109" s="16"/>
      <c r="O109" s="16" t="s">
        <v>20</v>
      </c>
      <c r="P109" s="16" t="s">
        <v>1584</v>
      </c>
    </row>
    <row r="110" customFormat="false" ht="15" hidden="false" customHeight="true" outlineLevel="0" collapsed="false">
      <c r="A110" s="16" t="s">
        <v>372</v>
      </c>
      <c r="B110" s="16" t="s">
        <v>532</v>
      </c>
      <c r="C110" s="16" t="s">
        <v>77</v>
      </c>
      <c r="D110" s="16" t="s">
        <v>534</v>
      </c>
      <c r="E110" s="16"/>
      <c r="F110" s="16" t="s">
        <v>1585</v>
      </c>
      <c r="G110" s="16" t="s">
        <v>72</v>
      </c>
      <c r="H110" s="16" t="s">
        <v>72</v>
      </c>
      <c r="I110" s="16"/>
      <c r="J110" s="16" t="s">
        <v>72</v>
      </c>
      <c r="K110" s="16" t="s">
        <v>72</v>
      </c>
      <c r="L110" s="16" t="s">
        <v>72</v>
      </c>
      <c r="M110" s="16" t="s">
        <v>72</v>
      </c>
      <c r="N110" s="16"/>
      <c r="O110" s="16" t="s">
        <v>20</v>
      </c>
      <c r="P110" s="16" t="s">
        <v>1586</v>
      </c>
    </row>
    <row r="111" customFormat="false" ht="15" hidden="false" customHeight="true" outlineLevel="0" collapsed="false">
      <c r="A111" s="16" t="s">
        <v>372</v>
      </c>
      <c r="B111" s="16" t="s">
        <v>536</v>
      </c>
      <c r="C111" s="16" t="s">
        <v>77</v>
      </c>
      <c r="D111" s="16" t="s">
        <v>538</v>
      </c>
      <c r="E111" s="16"/>
      <c r="F111" s="16" t="s">
        <v>1587</v>
      </c>
      <c r="G111" s="16" t="s">
        <v>72</v>
      </c>
      <c r="H111" s="16" t="s">
        <v>72</v>
      </c>
      <c r="I111" s="16"/>
      <c r="J111" s="16" t="s">
        <v>72</v>
      </c>
      <c r="K111" s="16" t="s">
        <v>72</v>
      </c>
      <c r="L111" s="16" t="s">
        <v>72</v>
      </c>
      <c r="M111" s="16" t="s">
        <v>72</v>
      </c>
      <c r="N111" s="16"/>
      <c r="O111" s="16" t="s">
        <v>20</v>
      </c>
      <c r="P111" s="16" t="s">
        <v>1588</v>
      </c>
    </row>
    <row r="112" customFormat="false" ht="15" hidden="false" customHeight="true" outlineLevel="0" collapsed="false">
      <c r="A112" s="16" t="s">
        <v>372</v>
      </c>
      <c r="B112" s="16" t="s">
        <v>540</v>
      </c>
      <c r="C112" s="16" t="s">
        <v>77</v>
      </c>
      <c r="D112" s="16" t="s">
        <v>542</v>
      </c>
      <c r="E112" s="16"/>
      <c r="F112" s="16" t="s">
        <v>1589</v>
      </c>
      <c r="G112" s="16" t="s">
        <v>72</v>
      </c>
      <c r="H112" s="16" t="s">
        <v>72</v>
      </c>
      <c r="I112" s="16"/>
      <c r="J112" s="16" t="s">
        <v>72</v>
      </c>
      <c r="K112" s="16" t="s">
        <v>72</v>
      </c>
      <c r="L112" s="16" t="s">
        <v>72</v>
      </c>
      <c r="M112" s="16" t="s">
        <v>72</v>
      </c>
      <c r="N112" s="16"/>
      <c r="O112" s="16" t="s">
        <v>20</v>
      </c>
      <c r="P112" s="16" t="s">
        <v>1590</v>
      </c>
    </row>
    <row r="113" customFormat="false" ht="15" hidden="false" customHeight="true" outlineLevel="0" collapsed="false">
      <c r="A113" s="16" t="s">
        <v>372</v>
      </c>
      <c r="B113" s="16" t="s">
        <v>544</v>
      </c>
      <c r="C113" s="16" t="s">
        <v>77</v>
      </c>
      <c r="D113" s="16" t="s">
        <v>547</v>
      </c>
      <c r="E113" s="16"/>
      <c r="F113" s="16" t="s">
        <v>1591</v>
      </c>
      <c r="G113" s="16" t="s">
        <v>72</v>
      </c>
      <c r="H113" s="16" t="s">
        <v>72</v>
      </c>
      <c r="I113" s="16"/>
      <c r="J113" s="16" t="s">
        <v>72</v>
      </c>
      <c r="K113" s="16" t="s">
        <v>72</v>
      </c>
      <c r="L113" s="16" t="s">
        <v>72</v>
      </c>
      <c r="M113" s="16" t="s">
        <v>72</v>
      </c>
      <c r="N113" s="16"/>
      <c r="O113" s="16" t="s">
        <v>20</v>
      </c>
      <c r="P113" s="16" t="s">
        <v>1592</v>
      </c>
    </row>
    <row r="114" customFormat="false" ht="15" hidden="false" customHeight="true" outlineLevel="0" collapsed="false">
      <c r="A114" s="16" t="s">
        <v>372</v>
      </c>
      <c r="B114" s="16" t="s">
        <v>549</v>
      </c>
      <c r="C114" s="16" t="s">
        <v>77</v>
      </c>
      <c r="D114" s="16" t="s">
        <v>552</v>
      </c>
      <c r="E114" s="16"/>
      <c r="F114" s="16" t="s">
        <v>1593</v>
      </c>
      <c r="G114" s="16" t="s">
        <v>72</v>
      </c>
      <c r="H114" s="16" t="s">
        <v>72</v>
      </c>
      <c r="I114" s="16"/>
      <c r="J114" s="16" t="s">
        <v>72</v>
      </c>
      <c r="K114" s="16" t="s">
        <v>72</v>
      </c>
      <c r="L114" s="16" t="s">
        <v>72</v>
      </c>
      <c r="M114" s="16" t="s">
        <v>72</v>
      </c>
      <c r="N114" s="16"/>
      <c r="O114" s="16" t="s">
        <v>20</v>
      </c>
      <c r="P114" s="16" t="s">
        <v>1594</v>
      </c>
    </row>
    <row r="115" customFormat="false" ht="15" hidden="false" customHeight="true" outlineLevel="0" collapsed="false">
      <c r="A115" s="16" t="s">
        <v>372</v>
      </c>
      <c r="B115" s="16" t="s">
        <v>554</v>
      </c>
      <c r="C115" s="16" t="s">
        <v>77</v>
      </c>
      <c r="D115" s="16" t="s">
        <v>556</v>
      </c>
      <c r="E115" s="16"/>
      <c r="F115" s="16" t="s">
        <v>1595</v>
      </c>
      <c r="G115" s="16" t="s">
        <v>72</v>
      </c>
      <c r="H115" s="16" t="s">
        <v>72</v>
      </c>
      <c r="I115" s="16"/>
      <c r="J115" s="16" t="s">
        <v>72</v>
      </c>
      <c r="K115" s="16" t="s">
        <v>72</v>
      </c>
      <c r="L115" s="16" t="s">
        <v>72</v>
      </c>
      <c r="M115" s="16" t="s">
        <v>72</v>
      </c>
      <c r="N115" s="16"/>
      <c r="O115" s="16" t="s">
        <v>20</v>
      </c>
      <c r="P115" s="16" t="s">
        <v>1596</v>
      </c>
    </row>
    <row r="116" customFormat="false" ht="15" hidden="false" customHeight="true" outlineLevel="0" collapsed="false">
      <c r="A116" s="16" t="s">
        <v>372</v>
      </c>
      <c r="B116" s="16" t="s">
        <v>558</v>
      </c>
      <c r="C116" s="16" t="s">
        <v>77</v>
      </c>
      <c r="D116" s="16" t="s">
        <v>560</v>
      </c>
      <c r="E116" s="16"/>
      <c r="F116" s="16" t="s">
        <v>1597</v>
      </c>
      <c r="G116" s="16" t="s">
        <v>72</v>
      </c>
      <c r="H116" s="16" t="s">
        <v>72</v>
      </c>
      <c r="I116" s="16"/>
      <c r="J116" s="16" t="s">
        <v>72</v>
      </c>
      <c r="K116" s="16" t="s">
        <v>72</v>
      </c>
      <c r="L116" s="16" t="s">
        <v>72</v>
      </c>
      <c r="M116" s="16" t="s">
        <v>72</v>
      </c>
      <c r="N116" s="16"/>
      <c r="O116" s="16" t="s">
        <v>20</v>
      </c>
      <c r="P116" s="16" t="s">
        <v>1598</v>
      </c>
    </row>
    <row r="117" customFormat="false" ht="15" hidden="false" customHeight="true" outlineLevel="0" collapsed="false">
      <c r="A117" s="16" t="s">
        <v>372</v>
      </c>
      <c r="B117" s="16" t="s">
        <v>562</v>
      </c>
      <c r="C117" s="16" t="s">
        <v>77</v>
      </c>
      <c r="D117" s="16" t="s">
        <v>564</v>
      </c>
      <c r="E117" s="16"/>
      <c r="F117" s="16" t="s">
        <v>1599</v>
      </c>
      <c r="G117" s="16" t="s">
        <v>72</v>
      </c>
      <c r="H117" s="16" t="s">
        <v>72</v>
      </c>
      <c r="I117" s="16"/>
      <c r="J117" s="16" t="s">
        <v>72</v>
      </c>
      <c r="K117" s="16" t="s">
        <v>72</v>
      </c>
      <c r="L117" s="16" t="s">
        <v>72</v>
      </c>
      <c r="M117" s="16" t="s">
        <v>72</v>
      </c>
      <c r="N117" s="16"/>
      <c r="O117" s="16" t="s">
        <v>20</v>
      </c>
      <c r="P117" s="16" t="s">
        <v>1600</v>
      </c>
    </row>
    <row r="118" customFormat="false" ht="15" hidden="false" customHeight="true" outlineLevel="0" collapsed="false">
      <c r="A118" s="16" t="s">
        <v>372</v>
      </c>
      <c r="B118" s="16" t="s">
        <v>566</v>
      </c>
      <c r="C118" s="16" t="s">
        <v>77</v>
      </c>
      <c r="D118" s="16" t="s">
        <v>568</v>
      </c>
      <c r="E118" s="16"/>
      <c r="F118" s="16" t="s">
        <v>1601</v>
      </c>
      <c r="G118" s="16" t="s">
        <v>71</v>
      </c>
      <c r="H118" s="16" t="s">
        <v>72</v>
      </c>
      <c r="I118" s="16"/>
      <c r="J118" s="16" t="s">
        <v>72</v>
      </c>
      <c r="K118" s="16" t="s">
        <v>72</v>
      </c>
      <c r="L118" s="16" t="s">
        <v>72</v>
      </c>
      <c r="M118" s="16" t="s">
        <v>72</v>
      </c>
      <c r="N118" s="16"/>
      <c r="O118" s="16" t="s">
        <v>105</v>
      </c>
      <c r="P118" s="16" t="s">
        <v>1602</v>
      </c>
    </row>
    <row r="119" customFormat="false" ht="15" hidden="false" customHeight="true" outlineLevel="0" collapsed="false">
      <c r="A119" s="16" t="s">
        <v>372</v>
      </c>
      <c r="B119" s="16" t="s">
        <v>570</v>
      </c>
      <c r="C119" s="16" t="s">
        <v>77</v>
      </c>
      <c r="D119" s="16" t="s">
        <v>573</v>
      </c>
      <c r="E119" s="16"/>
      <c r="F119" s="16" t="s">
        <v>1603</v>
      </c>
      <c r="G119" s="16" t="s">
        <v>72</v>
      </c>
      <c r="H119" s="16" t="s">
        <v>72</v>
      </c>
      <c r="I119" s="16"/>
      <c r="J119" s="16" t="s">
        <v>72</v>
      </c>
      <c r="K119" s="16" t="s">
        <v>72</v>
      </c>
      <c r="L119" s="16" t="s">
        <v>72</v>
      </c>
      <c r="M119" s="16" t="s">
        <v>72</v>
      </c>
      <c r="N119" s="16"/>
      <c r="O119" s="16" t="s">
        <v>20</v>
      </c>
      <c r="P119" s="16" t="s">
        <v>1604</v>
      </c>
    </row>
    <row r="120" customFormat="false" ht="15" hidden="false" customHeight="true" outlineLevel="0" collapsed="false">
      <c r="A120" s="16" t="s">
        <v>372</v>
      </c>
      <c r="B120" s="16" t="s">
        <v>575</v>
      </c>
      <c r="C120" s="16" t="s">
        <v>77</v>
      </c>
      <c r="D120" s="16" t="s">
        <v>578</v>
      </c>
      <c r="E120" s="16"/>
      <c r="F120" s="16" t="s">
        <v>1605</v>
      </c>
      <c r="G120" s="16" t="s">
        <v>72</v>
      </c>
      <c r="H120" s="16" t="s">
        <v>72</v>
      </c>
      <c r="I120" s="16"/>
      <c r="J120" s="16" t="s">
        <v>72</v>
      </c>
      <c r="K120" s="16" t="s">
        <v>72</v>
      </c>
      <c r="L120" s="16" t="s">
        <v>72</v>
      </c>
      <c r="M120" s="16" t="s">
        <v>72</v>
      </c>
      <c r="N120" s="16"/>
      <c r="O120" s="16" t="s">
        <v>20</v>
      </c>
      <c r="P120" s="16" t="s">
        <v>1606</v>
      </c>
    </row>
    <row r="121" customFormat="false" ht="15" hidden="false" customHeight="true" outlineLevel="0" collapsed="false">
      <c r="A121" s="16" t="s">
        <v>372</v>
      </c>
      <c r="B121" s="16" t="s">
        <v>580</v>
      </c>
      <c r="C121" s="16" t="s">
        <v>77</v>
      </c>
      <c r="D121" s="16" t="s">
        <v>582</v>
      </c>
      <c r="E121" s="16"/>
      <c r="F121" s="16" t="s">
        <v>1607</v>
      </c>
      <c r="G121" s="16" t="s">
        <v>72</v>
      </c>
      <c r="H121" s="16" t="s">
        <v>72</v>
      </c>
      <c r="I121" s="16"/>
      <c r="J121" s="16" t="s">
        <v>72</v>
      </c>
      <c r="K121" s="16" t="s">
        <v>72</v>
      </c>
      <c r="L121" s="16" t="s">
        <v>72</v>
      </c>
      <c r="M121" s="16" t="s">
        <v>72</v>
      </c>
      <c r="N121" s="16"/>
      <c r="O121" s="16" t="s">
        <v>20</v>
      </c>
      <c r="P121" s="16" t="s">
        <v>1608</v>
      </c>
    </row>
    <row r="122" customFormat="false" ht="15" hidden="false" customHeight="true" outlineLevel="0" collapsed="false">
      <c r="A122" s="16" t="s">
        <v>372</v>
      </c>
      <c r="B122" s="16" t="s">
        <v>584</v>
      </c>
      <c r="C122" s="16" t="s">
        <v>77</v>
      </c>
      <c r="D122" s="16" t="s">
        <v>586</v>
      </c>
      <c r="E122" s="16"/>
      <c r="F122" s="16" t="s">
        <v>1609</v>
      </c>
      <c r="G122" s="16" t="s">
        <v>72</v>
      </c>
      <c r="H122" s="16" t="s">
        <v>72</v>
      </c>
      <c r="I122" s="16"/>
      <c r="J122" s="16" t="s">
        <v>72</v>
      </c>
      <c r="K122" s="16" t="s">
        <v>72</v>
      </c>
      <c r="L122" s="16" t="s">
        <v>72</v>
      </c>
      <c r="M122" s="16" t="s">
        <v>72</v>
      </c>
      <c r="N122" s="16"/>
      <c r="O122" s="16" t="s">
        <v>20</v>
      </c>
      <c r="P122" s="16" t="s">
        <v>1610</v>
      </c>
    </row>
    <row r="123" customFormat="false" ht="15" hidden="false" customHeight="true" outlineLevel="0" collapsed="false">
      <c r="A123" s="16" t="s">
        <v>372</v>
      </c>
      <c r="B123" s="16" t="s">
        <v>588</v>
      </c>
      <c r="C123" s="16" t="s">
        <v>77</v>
      </c>
      <c r="D123" s="16" t="s">
        <v>590</v>
      </c>
      <c r="E123" s="16"/>
      <c r="F123" s="16" t="s">
        <v>1611</v>
      </c>
      <c r="G123" s="16" t="s">
        <v>72</v>
      </c>
      <c r="H123" s="16" t="s">
        <v>72</v>
      </c>
      <c r="I123" s="16"/>
      <c r="J123" s="16" t="s">
        <v>72</v>
      </c>
      <c r="K123" s="16" t="s">
        <v>72</v>
      </c>
      <c r="L123" s="16" t="s">
        <v>72</v>
      </c>
      <c r="M123" s="16" t="s">
        <v>72</v>
      </c>
      <c r="N123" s="16"/>
      <c r="O123" s="16" t="s">
        <v>20</v>
      </c>
      <c r="P123" s="16" t="s">
        <v>1612</v>
      </c>
    </row>
    <row r="124" customFormat="false" ht="15" hidden="false" customHeight="true" outlineLevel="0" collapsed="false">
      <c r="A124" s="16" t="s">
        <v>372</v>
      </c>
      <c r="B124" s="16" t="s">
        <v>592</v>
      </c>
      <c r="C124" s="16" t="s">
        <v>77</v>
      </c>
      <c r="D124" s="16" t="s">
        <v>595</v>
      </c>
      <c r="E124" s="16"/>
      <c r="F124" s="16" t="s">
        <v>1613</v>
      </c>
      <c r="G124" s="16" t="s">
        <v>72</v>
      </c>
      <c r="H124" s="16" t="s">
        <v>72</v>
      </c>
      <c r="I124" s="16"/>
      <c r="J124" s="16" t="s">
        <v>72</v>
      </c>
      <c r="K124" s="16" t="s">
        <v>72</v>
      </c>
      <c r="L124" s="16" t="s">
        <v>72</v>
      </c>
      <c r="M124" s="16" t="s">
        <v>72</v>
      </c>
      <c r="N124" s="16"/>
      <c r="O124" s="16" t="s">
        <v>20</v>
      </c>
      <c r="P124" s="16" t="s">
        <v>1614</v>
      </c>
    </row>
    <row r="125" customFormat="false" ht="15" hidden="false" customHeight="true" outlineLevel="0" collapsed="false">
      <c r="A125" s="16" t="s">
        <v>372</v>
      </c>
      <c r="B125" s="16" t="s">
        <v>597</v>
      </c>
      <c r="C125" s="16" t="s">
        <v>77</v>
      </c>
      <c r="D125" s="16" t="s">
        <v>600</v>
      </c>
      <c r="E125" s="16"/>
      <c r="F125" s="16" t="s">
        <v>1615</v>
      </c>
      <c r="G125" s="16" t="s">
        <v>72</v>
      </c>
      <c r="H125" s="16" t="s">
        <v>72</v>
      </c>
      <c r="I125" s="16"/>
      <c r="J125" s="16" t="s">
        <v>72</v>
      </c>
      <c r="K125" s="16" t="s">
        <v>72</v>
      </c>
      <c r="L125" s="16" t="s">
        <v>72</v>
      </c>
      <c r="M125" s="16" t="s">
        <v>72</v>
      </c>
      <c r="N125" s="16"/>
      <c r="O125" s="16" t="s">
        <v>20</v>
      </c>
      <c r="P125" s="16" t="s">
        <v>1616</v>
      </c>
    </row>
    <row r="126" customFormat="false" ht="15" hidden="false" customHeight="true" outlineLevel="0" collapsed="false">
      <c r="A126" s="16" t="s">
        <v>372</v>
      </c>
      <c r="B126" s="16" t="s">
        <v>602</v>
      </c>
      <c r="C126" s="16" t="s">
        <v>77</v>
      </c>
      <c r="D126" s="16" t="s">
        <v>604</v>
      </c>
      <c r="E126" s="16"/>
      <c r="F126" s="16" t="s">
        <v>1617</v>
      </c>
      <c r="G126" s="16" t="s">
        <v>72</v>
      </c>
      <c r="H126" s="16" t="s">
        <v>72</v>
      </c>
      <c r="I126" s="16"/>
      <c r="J126" s="16" t="s">
        <v>72</v>
      </c>
      <c r="K126" s="16" t="s">
        <v>72</v>
      </c>
      <c r="L126" s="16" t="s">
        <v>72</v>
      </c>
      <c r="M126" s="16" t="s">
        <v>72</v>
      </c>
      <c r="N126" s="16"/>
      <c r="O126" s="16" t="s">
        <v>20</v>
      </c>
      <c r="P126" s="16" t="s">
        <v>1618</v>
      </c>
    </row>
    <row r="127" customFormat="false" ht="15" hidden="false" customHeight="true" outlineLevel="0" collapsed="false">
      <c r="A127" s="16" t="s">
        <v>372</v>
      </c>
      <c r="B127" s="16" t="s">
        <v>606</v>
      </c>
      <c r="C127" s="16" t="s">
        <v>77</v>
      </c>
      <c r="D127" s="16" t="s">
        <v>608</v>
      </c>
      <c r="E127" s="16"/>
      <c r="F127" s="16" t="s">
        <v>1619</v>
      </c>
      <c r="G127" s="16" t="s">
        <v>72</v>
      </c>
      <c r="H127" s="16" t="s">
        <v>72</v>
      </c>
      <c r="I127" s="16"/>
      <c r="J127" s="16" t="s">
        <v>72</v>
      </c>
      <c r="K127" s="16" t="s">
        <v>72</v>
      </c>
      <c r="L127" s="16" t="s">
        <v>72</v>
      </c>
      <c r="M127" s="16" t="s">
        <v>72</v>
      </c>
      <c r="N127" s="16"/>
      <c r="O127" s="16" t="s">
        <v>20</v>
      </c>
      <c r="P127" s="16" t="s">
        <v>1620</v>
      </c>
    </row>
    <row r="128" customFormat="false" ht="15" hidden="false" customHeight="true" outlineLevel="0" collapsed="false">
      <c r="A128" s="16" t="s">
        <v>372</v>
      </c>
      <c r="B128" s="16" t="s">
        <v>610</v>
      </c>
      <c r="C128" s="16" t="s">
        <v>77</v>
      </c>
      <c r="D128" s="16" t="s">
        <v>612</v>
      </c>
      <c r="E128" s="16"/>
      <c r="F128" s="16" t="s">
        <v>1621</v>
      </c>
      <c r="G128" s="16" t="s">
        <v>72</v>
      </c>
      <c r="H128" s="16" t="s">
        <v>72</v>
      </c>
      <c r="I128" s="16"/>
      <c r="J128" s="16" t="s">
        <v>72</v>
      </c>
      <c r="K128" s="16" t="s">
        <v>72</v>
      </c>
      <c r="L128" s="16" t="s">
        <v>72</v>
      </c>
      <c r="M128" s="16" t="s">
        <v>72</v>
      </c>
      <c r="N128" s="16"/>
      <c r="O128" s="16" t="s">
        <v>20</v>
      </c>
      <c r="P128" s="16" t="s">
        <v>1622</v>
      </c>
    </row>
    <row r="129" customFormat="false" ht="15" hidden="false" customHeight="true" outlineLevel="0" collapsed="false">
      <c r="A129" s="16" t="s">
        <v>372</v>
      </c>
      <c r="B129" s="16" t="s">
        <v>614</v>
      </c>
      <c r="C129" s="16" t="s">
        <v>77</v>
      </c>
      <c r="D129" s="16" t="s">
        <v>616</v>
      </c>
      <c r="E129" s="16"/>
      <c r="F129" s="16" t="s">
        <v>1623</v>
      </c>
      <c r="G129" s="16" t="s">
        <v>72</v>
      </c>
      <c r="H129" s="16" t="s">
        <v>72</v>
      </c>
      <c r="I129" s="16"/>
      <c r="J129" s="16" t="s">
        <v>72</v>
      </c>
      <c r="K129" s="16" t="s">
        <v>72</v>
      </c>
      <c r="L129" s="16" t="s">
        <v>72</v>
      </c>
      <c r="M129" s="16" t="s">
        <v>72</v>
      </c>
      <c r="N129" s="16"/>
      <c r="O129" s="16" t="s">
        <v>20</v>
      </c>
      <c r="P129" s="16" t="s">
        <v>1624</v>
      </c>
    </row>
    <row r="130" customFormat="false" ht="15" hidden="false" customHeight="true" outlineLevel="0" collapsed="false">
      <c r="A130" s="16" t="s">
        <v>372</v>
      </c>
      <c r="B130" s="16" t="s">
        <v>618</v>
      </c>
      <c r="C130" s="16" t="s">
        <v>77</v>
      </c>
      <c r="D130" s="16" t="s">
        <v>621</v>
      </c>
      <c r="E130" s="16"/>
      <c r="F130" s="16" t="s">
        <v>1625</v>
      </c>
      <c r="G130" s="16" t="s">
        <v>72</v>
      </c>
      <c r="H130" s="16" t="s">
        <v>72</v>
      </c>
      <c r="I130" s="16"/>
      <c r="J130" s="16" t="s">
        <v>72</v>
      </c>
      <c r="K130" s="16" t="s">
        <v>72</v>
      </c>
      <c r="L130" s="16" t="s">
        <v>72</v>
      </c>
      <c r="M130" s="16" t="s">
        <v>72</v>
      </c>
      <c r="N130" s="16"/>
      <c r="O130" s="16" t="s">
        <v>20</v>
      </c>
      <c r="P130" s="16" t="s">
        <v>1626</v>
      </c>
    </row>
    <row r="131" customFormat="false" ht="15" hidden="false" customHeight="true" outlineLevel="0" collapsed="false">
      <c r="A131" s="16" t="s">
        <v>372</v>
      </c>
      <c r="B131" s="16" t="s">
        <v>623</v>
      </c>
      <c r="C131" s="16" t="s">
        <v>77</v>
      </c>
      <c r="D131" s="16" t="s">
        <v>626</v>
      </c>
      <c r="E131" s="16" t="s">
        <v>627</v>
      </c>
      <c r="F131" s="16" t="s">
        <v>1627</v>
      </c>
      <c r="G131" s="16" t="s">
        <v>72</v>
      </c>
      <c r="H131" s="16" t="s">
        <v>72</v>
      </c>
      <c r="I131" s="16"/>
      <c r="J131" s="16" t="s">
        <v>72</v>
      </c>
      <c r="K131" s="16" t="s">
        <v>72</v>
      </c>
      <c r="L131" s="16" t="s">
        <v>72</v>
      </c>
      <c r="M131" s="16" t="s">
        <v>72</v>
      </c>
      <c r="N131" s="16"/>
      <c r="O131" s="16" t="s">
        <v>20</v>
      </c>
      <c r="P131" s="16" t="s">
        <v>1628</v>
      </c>
    </row>
    <row r="132" customFormat="false" ht="15" hidden="false" customHeight="true" outlineLevel="0" collapsed="false">
      <c r="A132" s="16" t="s">
        <v>372</v>
      </c>
      <c r="B132" s="16" t="s">
        <v>629</v>
      </c>
      <c r="C132" s="16" t="s">
        <v>77</v>
      </c>
      <c r="D132" s="16" t="s">
        <v>632</v>
      </c>
      <c r="E132" s="16" t="s">
        <v>633</v>
      </c>
      <c r="F132" s="16" t="s">
        <v>1629</v>
      </c>
      <c r="G132" s="16" t="s">
        <v>72</v>
      </c>
      <c r="H132" s="16" t="s">
        <v>72</v>
      </c>
      <c r="I132" s="16"/>
      <c r="J132" s="16" t="s">
        <v>72</v>
      </c>
      <c r="K132" s="16" t="s">
        <v>72</v>
      </c>
      <c r="L132" s="16" t="s">
        <v>72</v>
      </c>
      <c r="M132" s="16" t="s">
        <v>72</v>
      </c>
      <c r="N132" s="16"/>
      <c r="O132" s="16" t="s">
        <v>20</v>
      </c>
      <c r="P132" s="16" t="s">
        <v>1630</v>
      </c>
    </row>
    <row r="133" customFormat="false" ht="15" hidden="false" customHeight="true" outlineLevel="0" collapsed="false">
      <c r="A133" s="16" t="s">
        <v>372</v>
      </c>
      <c r="B133" s="16" t="s">
        <v>635</v>
      </c>
      <c r="C133" s="16" t="s">
        <v>77</v>
      </c>
      <c r="D133" s="16" t="s">
        <v>637</v>
      </c>
      <c r="E133" s="16"/>
      <c r="F133" s="16" t="s">
        <v>1631</v>
      </c>
      <c r="G133" s="16" t="s">
        <v>72</v>
      </c>
      <c r="H133" s="16" t="s">
        <v>72</v>
      </c>
      <c r="I133" s="16"/>
      <c r="J133" s="16" t="s">
        <v>72</v>
      </c>
      <c r="K133" s="16" t="s">
        <v>72</v>
      </c>
      <c r="L133" s="16" t="s">
        <v>72</v>
      </c>
      <c r="M133" s="16" t="s">
        <v>72</v>
      </c>
      <c r="N133" s="16"/>
      <c r="O133" s="16" t="s">
        <v>20</v>
      </c>
      <c r="P133" s="16" t="s">
        <v>1632</v>
      </c>
    </row>
    <row r="134" customFormat="false" ht="15" hidden="false" customHeight="true" outlineLevel="0" collapsed="false">
      <c r="A134" s="16" t="s">
        <v>372</v>
      </c>
      <c r="B134" s="16" t="s">
        <v>639</v>
      </c>
      <c r="C134" s="16" t="s">
        <v>77</v>
      </c>
      <c r="D134" s="16" t="s">
        <v>641</v>
      </c>
      <c r="E134" s="16"/>
      <c r="F134" s="16" t="s">
        <v>1633</v>
      </c>
      <c r="G134" s="16" t="s">
        <v>72</v>
      </c>
      <c r="H134" s="16" t="s">
        <v>72</v>
      </c>
      <c r="I134" s="16"/>
      <c r="J134" s="16" t="s">
        <v>72</v>
      </c>
      <c r="K134" s="16" t="s">
        <v>72</v>
      </c>
      <c r="L134" s="16" t="s">
        <v>72</v>
      </c>
      <c r="M134" s="16" t="s">
        <v>72</v>
      </c>
      <c r="N134" s="16"/>
      <c r="O134" s="16" t="s">
        <v>20</v>
      </c>
      <c r="P134" s="16" t="s">
        <v>1634</v>
      </c>
    </row>
    <row r="135" customFormat="false" ht="15" hidden="false" customHeight="true" outlineLevel="0" collapsed="false">
      <c r="A135" s="16" t="s">
        <v>372</v>
      </c>
      <c r="B135" s="16" t="s">
        <v>643</v>
      </c>
      <c r="C135" s="16" t="s">
        <v>77</v>
      </c>
      <c r="D135" s="16" t="s">
        <v>645</v>
      </c>
      <c r="E135" s="16"/>
      <c r="F135" s="16" t="s">
        <v>1635</v>
      </c>
      <c r="G135" s="16" t="s">
        <v>72</v>
      </c>
      <c r="H135" s="16" t="s">
        <v>72</v>
      </c>
      <c r="I135" s="16"/>
      <c r="J135" s="16" t="s">
        <v>72</v>
      </c>
      <c r="K135" s="16" t="s">
        <v>72</v>
      </c>
      <c r="L135" s="16" t="s">
        <v>72</v>
      </c>
      <c r="M135" s="16" t="s">
        <v>72</v>
      </c>
      <c r="N135" s="16"/>
      <c r="O135" s="16" t="s">
        <v>20</v>
      </c>
      <c r="P135" s="16" t="s">
        <v>1636</v>
      </c>
    </row>
    <row r="136" customFormat="false" ht="15" hidden="false" customHeight="true" outlineLevel="0" collapsed="false">
      <c r="A136" s="16" t="s">
        <v>372</v>
      </c>
      <c r="B136" s="16" t="s">
        <v>647</v>
      </c>
      <c r="C136" s="16" t="s">
        <v>77</v>
      </c>
      <c r="D136" s="16" t="s">
        <v>649</v>
      </c>
      <c r="E136" s="16" t="s">
        <v>650</v>
      </c>
      <c r="F136" s="16" t="s">
        <v>1637</v>
      </c>
      <c r="G136" s="16" t="s">
        <v>72</v>
      </c>
      <c r="H136" s="16" t="s">
        <v>72</v>
      </c>
      <c r="I136" s="16"/>
      <c r="J136" s="16" t="s">
        <v>72</v>
      </c>
      <c r="K136" s="16" t="s">
        <v>72</v>
      </c>
      <c r="L136" s="16" t="s">
        <v>72</v>
      </c>
      <c r="M136" s="16" t="s">
        <v>72</v>
      </c>
      <c r="N136" s="16"/>
      <c r="O136" s="16" t="s">
        <v>20</v>
      </c>
      <c r="P136" s="16" t="s">
        <v>1638</v>
      </c>
    </row>
    <row r="137" customFormat="false" ht="15" hidden="false" customHeight="true" outlineLevel="0" collapsed="false">
      <c r="A137" s="16" t="s">
        <v>372</v>
      </c>
      <c r="B137" s="16" t="s">
        <v>652</v>
      </c>
      <c r="C137" s="16" t="s">
        <v>77</v>
      </c>
      <c r="D137" s="16" t="s">
        <v>654</v>
      </c>
      <c r="E137" s="16"/>
      <c r="F137" s="16" t="s">
        <v>1639</v>
      </c>
      <c r="G137" s="16" t="s">
        <v>72</v>
      </c>
      <c r="H137" s="16" t="s">
        <v>72</v>
      </c>
      <c r="I137" s="16"/>
      <c r="J137" s="16" t="s">
        <v>72</v>
      </c>
      <c r="K137" s="16" t="s">
        <v>72</v>
      </c>
      <c r="L137" s="16" t="s">
        <v>72</v>
      </c>
      <c r="M137" s="16" t="s">
        <v>72</v>
      </c>
      <c r="N137" s="16"/>
      <c r="O137" s="16" t="s">
        <v>20</v>
      </c>
      <c r="P137" s="16" t="s">
        <v>1640</v>
      </c>
    </row>
    <row r="138" customFormat="false" ht="15" hidden="false" customHeight="true" outlineLevel="0" collapsed="false">
      <c r="A138" s="16" t="s">
        <v>372</v>
      </c>
      <c r="B138" s="16" t="s">
        <v>656</v>
      </c>
      <c r="C138" s="16" t="s">
        <v>77</v>
      </c>
      <c r="D138" s="16" t="s">
        <v>658</v>
      </c>
      <c r="E138" s="16"/>
      <c r="F138" s="16" t="s">
        <v>1641</v>
      </c>
      <c r="G138" s="16" t="s">
        <v>72</v>
      </c>
      <c r="H138" s="16" t="s">
        <v>72</v>
      </c>
      <c r="I138" s="16"/>
      <c r="J138" s="16" t="s">
        <v>72</v>
      </c>
      <c r="K138" s="16" t="s">
        <v>72</v>
      </c>
      <c r="L138" s="16" t="s">
        <v>72</v>
      </c>
      <c r="M138" s="16" t="s">
        <v>72</v>
      </c>
      <c r="N138" s="16"/>
      <c r="O138" s="16" t="s">
        <v>20</v>
      </c>
      <c r="P138" s="16" t="s">
        <v>1642</v>
      </c>
    </row>
    <row r="139" customFormat="false" ht="15" hidden="false" customHeight="true" outlineLevel="0" collapsed="false">
      <c r="A139" s="16" t="s">
        <v>372</v>
      </c>
      <c r="B139" s="16" t="s">
        <v>660</v>
      </c>
      <c r="C139" s="16" t="s">
        <v>77</v>
      </c>
      <c r="D139" s="16" t="s">
        <v>663</v>
      </c>
      <c r="E139" s="16"/>
      <c r="F139" s="16" t="s">
        <v>1643</v>
      </c>
      <c r="G139" s="16" t="s">
        <v>72</v>
      </c>
      <c r="H139" s="16" t="s">
        <v>72</v>
      </c>
      <c r="I139" s="16"/>
      <c r="J139" s="16" t="s">
        <v>72</v>
      </c>
      <c r="K139" s="16" t="s">
        <v>72</v>
      </c>
      <c r="L139" s="16" t="s">
        <v>72</v>
      </c>
      <c r="M139" s="16" t="s">
        <v>72</v>
      </c>
      <c r="N139" s="16"/>
      <c r="O139" s="16" t="s">
        <v>20</v>
      </c>
      <c r="P139" s="16" t="s">
        <v>1644</v>
      </c>
    </row>
    <row r="140" customFormat="false" ht="15" hidden="false" customHeight="true" outlineLevel="0" collapsed="false">
      <c r="A140" s="16" t="s">
        <v>372</v>
      </c>
      <c r="B140" s="16" t="s">
        <v>665</v>
      </c>
      <c r="C140" s="16" t="s">
        <v>77</v>
      </c>
      <c r="D140" s="16" t="s">
        <v>667</v>
      </c>
      <c r="E140" s="16" t="s">
        <v>668</v>
      </c>
      <c r="F140" s="16" t="s">
        <v>1645</v>
      </c>
      <c r="G140" s="16" t="s">
        <v>72</v>
      </c>
      <c r="H140" s="16" t="s">
        <v>72</v>
      </c>
      <c r="I140" s="16"/>
      <c r="J140" s="16" t="s">
        <v>72</v>
      </c>
      <c r="K140" s="16" t="s">
        <v>72</v>
      </c>
      <c r="L140" s="16" t="s">
        <v>72</v>
      </c>
      <c r="M140" s="16" t="s">
        <v>72</v>
      </c>
      <c r="N140" s="16"/>
      <c r="O140" s="16" t="s">
        <v>20</v>
      </c>
      <c r="P140" s="16" t="s">
        <v>1646</v>
      </c>
    </row>
    <row r="141" customFormat="false" ht="15" hidden="false" customHeight="true" outlineLevel="0" collapsed="false">
      <c r="A141" s="16" t="s">
        <v>372</v>
      </c>
      <c r="B141" s="16" t="s">
        <v>670</v>
      </c>
      <c r="C141" s="16" t="s">
        <v>77</v>
      </c>
      <c r="D141" s="16" t="s">
        <v>672</v>
      </c>
      <c r="E141" s="16"/>
      <c r="F141" s="16" t="s">
        <v>1647</v>
      </c>
      <c r="G141" s="16" t="s">
        <v>71</v>
      </c>
      <c r="H141" s="16" t="s">
        <v>72</v>
      </c>
      <c r="I141" s="16"/>
      <c r="J141" s="16" t="s">
        <v>72</v>
      </c>
      <c r="K141" s="16" t="s">
        <v>72</v>
      </c>
      <c r="L141" s="16" t="s">
        <v>72</v>
      </c>
      <c r="M141" s="16" t="s">
        <v>72</v>
      </c>
      <c r="N141" s="16"/>
      <c r="O141" s="16" t="s">
        <v>105</v>
      </c>
      <c r="P141" s="16" t="s">
        <v>1648</v>
      </c>
    </row>
    <row r="142" customFormat="false" ht="15" hidden="false" customHeight="true" outlineLevel="0" collapsed="false">
      <c r="A142" s="16" t="s">
        <v>372</v>
      </c>
      <c r="B142" s="16" t="s">
        <v>674</v>
      </c>
      <c r="C142" s="16" t="s">
        <v>77</v>
      </c>
      <c r="D142" s="16" t="s">
        <v>677</v>
      </c>
      <c r="E142" s="16"/>
      <c r="F142" s="16" t="s">
        <v>1649</v>
      </c>
      <c r="G142" s="16" t="s">
        <v>72</v>
      </c>
      <c r="H142" s="16" t="s">
        <v>72</v>
      </c>
      <c r="I142" s="16"/>
      <c r="J142" s="16" t="s">
        <v>72</v>
      </c>
      <c r="K142" s="16" t="s">
        <v>72</v>
      </c>
      <c r="L142" s="16" t="s">
        <v>72</v>
      </c>
      <c r="M142" s="16" t="s">
        <v>72</v>
      </c>
      <c r="N142" s="16"/>
      <c r="O142" s="16" t="s">
        <v>20</v>
      </c>
      <c r="P142" s="16" t="s">
        <v>1650</v>
      </c>
    </row>
    <row r="143" customFormat="false" ht="15" hidden="false" customHeight="true" outlineLevel="0" collapsed="false">
      <c r="A143" s="16" t="s">
        <v>372</v>
      </c>
      <c r="B143" s="16" t="s">
        <v>679</v>
      </c>
      <c r="C143" s="16" t="s">
        <v>77</v>
      </c>
      <c r="D143" s="16" t="s">
        <v>681</v>
      </c>
      <c r="E143" s="16"/>
      <c r="F143" s="16" t="s">
        <v>1651</v>
      </c>
      <c r="G143" s="16" t="s">
        <v>72</v>
      </c>
      <c r="H143" s="16" t="s">
        <v>72</v>
      </c>
      <c r="I143" s="16"/>
      <c r="J143" s="16" t="s">
        <v>72</v>
      </c>
      <c r="K143" s="16" t="s">
        <v>72</v>
      </c>
      <c r="L143" s="16" t="s">
        <v>72</v>
      </c>
      <c r="M143" s="16" t="s">
        <v>72</v>
      </c>
      <c r="N143" s="16"/>
      <c r="O143" s="16" t="s">
        <v>20</v>
      </c>
      <c r="P143" s="16" t="s">
        <v>1652</v>
      </c>
    </row>
    <row r="144" customFormat="false" ht="15" hidden="false" customHeight="true" outlineLevel="0" collapsed="false">
      <c r="A144" s="16" t="s">
        <v>372</v>
      </c>
      <c r="B144" s="16" t="s">
        <v>683</v>
      </c>
      <c r="C144" s="16" t="s">
        <v>77</v>
      </c>
      <c r="D144" s="16" t="s">
        <v>685</v>
      </c>
      <c r="E144" s="16"/>
      <c r="F144" s="16" t="s">
        <v>1653</v>
      </c>
      <c r="G144" s="16" t="s">
        <v>72</v>
      </c>
      <c r="H144" s="16" t="s">
        <v>72</v>
      </c>
      <c r="I144" s="16"/>
      <c r="J144" s="16" t="s">
        <v>72</v>
      </c>
      <c r="K144" s="16" t="s">
        <v>72</v>
      </c>
      <c r="L144" s="16" t="s">
        <v>72</v>
      </c>
      <c r="M144" s="16" t="s">
        <v>72</v>
      </c>
      <c r="N144" s="16"/>
      <c r="O144" s="16" t="s">
        <v>20</v>
      </c>
      <c r="P144" s="16" t="s">
        <v>1654</v>
      </c>
    </row>
    <row r="145" customFormat="false" ht="15" hidden="false" customHeight="true" outlineLevel="0" collapsed="false">
      <c r="A145" s="16" t="s">
        <v>372</v>
      </c>
      <c r="B145" s="16" t="s">
        <v>687</v>
      </c>
      <c r="C145" s="16" t="s">
        <v>77</v>
      </c>
      <c r="D145" s="16" t="s">
        <v>689</v>
      </c>
      <c r="E145" s="16"/>
      <c r="F145" s="16" t="s">
        <v>1655</v>
      </c>
      <c r="G145" s="16" t="s">
        <v>72</v>
      </c>
      <c r="H145" s="16" t="s">
        <v>72</v>
      </c>
      <c r="I145" s="16"/>
      <c r="J145" s="16" t="s">
        <v>72</v>
      </c>
      <c r="K145" s="16" t="s">
        <v>72</v>
      </c>
      <c r="L145" s="16" t="s">
        <v>72</v>
      </c>
      <c r="M145" s="16" t="s">
        <v>72</v>
      </c>
      <c r="N145" s="16"/>
      <c r="O145" s="16" t="s">
        <v>20</v>
      </c>
      <c r="P145" s="16" t="s">
        <v>1656</v>
      </c>
    </row>
    <row r="146" customFormat="false" ht="15" hidden="false" customHeight="true" outlineLevel="0" collapsed="false">
      <c r="A146" s="16" t="s">
        <v>372</v>
      </c>
      <c r="B146" s="16" t="s">
        <v>691</v>
      </c>
      <c r="C146" s="16" t="s">
        <v>77</v>
      </c>
      <c r="D146" s="16" t="s">
        <v>693</v>
      </c>
      <c r="E146" s="16"/>
      <c r="F146" s="16" t="s">
        <v>1657</v>
      </c>
      <c r="G146" s="16" t="s">
        <v>72</v>
      </c>
      <c r="H146" s="16" t="s">
        <v>72</v>
      </c>
      <c r="I146" s="16"/>
      <c r="J146" s="16" t="s">
        <v>72</v>
      </c>
      <c r="K146" s="16" t="s">
        <v>72</v>
      </c>
      <c r="L146" s="16" t="s">
        <v>72</v>
      </c>
      <c r="M146" s="16" t="s">
        <v>72</v>
      </c>
      <c r="N146" s="16"/>
      <c r="O146" s="16" t="s">
        <v>20</v>
      </c>
      <c r="P146" s="16" t="s">
        <v>1658</v>
      </c>
    </row>
    <row r="147" customFormat="false" ht="15" hidden="false" customHeight="true" outlineLevel="0" collapsed="false">
      <c r="A147" s="16" t="s">
        <v>372</v>
      </c>
      <c r="B147" s="16" t="s">
        <v>695</v>
      </c>
      <c r="C147" s="16" t="s">
        <v>77</v>
      </c>
      <c r="D147" s="16" t="s">
        <v>697</v>
      </c>
      <c r="E147" s="16"/>
      <c r="F147" s="16" t="s">
        <v>1659</v>
      </c>
      <c r="G147" s="16" t="s">
        <v>72</v>
      </c>
      <c r="H147" s="16" t="s">
        <v>72</v>
      </c>
      <c r="I147" s="16"/>
      <c r="J147" s="16" t="s">
        <v>72</v>
      </c>
      <c r="K147" s="16" t="s">
        <v>72</v>
      </c>
      <c r="L147" s="16" t="s">
        <v>72</v>
      </c>
      <c r="M147" s="16" t="s">
        <v>72</v>
      </c>
      <c r="N147" s="16"/>
      <c r="O147" s="16" t="s">
        <v>20</v>
      </c>
      <c r="P147" s="16" t="s">
        <v>1660</v>
      </c>
    </row>
    <row r="148" customFormat="false" ht="15" hidden="false" customHeight="true" outlineLevel="0" collapsed="false">
      <c r="A148" s="16" t="s">
        <v>372</v>
      </c>
      <c r="B148" s="16" t="s">
        <v>699</v>
      </c>
      <c r="C148" s="16" t="s">
        <v>77</v>
      </c>
      <c r="D148" s="16" t="s">
        <v>701</v>
      </c>
      <c r="E148" s="16"/>
      <c r="F148" s="16" t="s">
        <v>1661</v>
      </c>
      <c r="G148" s="16" t="s">
        <v>72</v>
      </c>
      <c r="H148" s="16" t="s">
        <v>72</v>
      </c>
      <c r="I148" s="16"/>
      <c r="J148" s="16" t="s">
        <v>72</v>
      </c>
      <c r="K148" s="16" t="s">
        <v>72</v>
      </c>
      <c r="L148" s="16" t="s">
        <v>72</v>
      </c>
      <c r="M148" s="16" t="s">
        <v>72</v>
      </c>
      <c r="N148" s="16"/>
      <c r="O148" s="16" t="s">
        <v>20</v>
      </c>
      <c r="P148" s="16" t="s">
        <v>1662</v>
      </c>
    </row>
    <row r="149" customFormat="false" ht="15" hidden="false" customHeight="true" outlineLevel="0" collapsed="false">
      <c r="A149" s="16" t="s">
        <v>372</v>
      </c>
      <c r="B149" s="16" t="s">
        <v>703</v>
      </c>
      <c r="C149" s="16" t="s">
        <v>77</v>
      </c>
      <c r="D149" s="16" t="s">
        <v>705</v>
      </c>
      <c r="E149" s="16"/>
      <c r="F149" s="16" t="s">
        <v>1663</v>
      </c>
      <c r="G149" s="16" t="s">
        <v>72</v>
      </c>
      <c r="H149" s="16" t="s">
        <v>72</v>
      </c>
      <c r="I149" s="16"/>
      <c r="J149" s="16" t="s">
        <v>72</v>
      </c>
      <c r="K149" s="16" t="s">
        <v>72</v>
      </c>
      <c r="L149" s="16" t="s">
        <v>72</v>
      </c>
      <c r="M149" s="16" t="s">
        <v>72</v>
      </c>
      <c r="N149" s="16"/>
      <c r="O149" s="16" t="s">
        <v>20</v>
      </c>
      <c r="P149" s="16" t="s">
        <v>1664</v>
      </c>
    </row>
    <row r="150" customFormat="false" ht="15" hidden="false" customHeight="true" outlineLevel="0" collapsed="false">
      <c r="A150" s="16" t="s">
        <v>372</v>
      </c>
      <c r="B150" s="16" t="s">
        <v>707</v>
      </c>
      <c r="C150" s="16" t="s">
        <v>77</v>
      </c>
      <c r="D150" s="16" t="s">
        <v>709</v>
      </c>
      <c r="E150" s="16"/>
      <c r="F150" s="16" t="s">
        <v>1665</v>
      </c>
      <c r="G150" s="16" t="s">
        <v>72</v>
      </c>
      <c r="H150" s="16" t="s">
        <v>72</v>
      </c>
      <c r="I150" s="16"/>
      <c r="J150" s="16" t="s">
        <v>72</v>
      </c>
      <c r="K150" s="16" t="s">
        <v>72</v>
      </c>
      <c r="L150" s="16" t="s">
        <v>72</v>
      </c>
      <c r="M150" s="16" t="s">
        <v>72</v>
      </c>
      <c r="N150" s="16"/>
      <c r="O150" s="16" t="s">
        <v>20</v>
      </c>
      <c r="P150" s="16" t="s">
        <v>1666</v>
      </c>
    </row>
    <row r="151" customFormat="false" ht="15" hidden="false" customHeight="true" outlineLevel="0" collapsed="false">
      <c r="A151" s="16" t="s">
        <v>372</v>
      </c>
      <c r="B151" s="16" t="s">
        <v>711</v>
      </c>
      <c r="C151" s="16" t="s">
        <v>77</v>
      </c>
      <c r="D151" s="16" t="s">
        <v>713</v>
      </c>
      <c r="E151" s="16"/>
      <c r="F151" s="16" t="s">
        <v>1667</v>
      </c>
      <c r="G151" s="16" t="s">
        <v>72</v>
      </c>
      <c r="H151" s="16" t="s">
        <v>72</v>
      </c>
      <c r="I151" s="16"/>
      <c r="J151" s="16" t="s">
        <v>72</v>
      </c>
      <c r="K151" s="16" t="s">
        <v>72</v>
      </c>
      <c r="L151" s="16" t="s">
        <v>72</v>
      </c>
      <c r="M151" s="16" t="s">
        <v>72</v>
      </c>
      <c r="N151" s="16"/>
      <c r="O151" s="16" t="s">
        <v>20</v>
      </c>
      <c r="P151" s="16" t="s">
        <v>1668</v>
      </c>
    </row>
    <row r="152" customFormat="false" ht="15" hidden="false" customHeight="true" outlineLevel="0" collapsed="false">
      <c r="A152" s="16" t="s">
        <v>372</v>
      </c>
      <c r="B152" s="16" t="s">
        <v>715</v>
      </c>
      <c r="C152" s="16" t="s">
        <v>77</v>
      </c>
      <c r="D152" s="16" t="s">
        <v>717</v>
      </c>
      <c r="E152" s="16"/>
      <c r="F152" s="16" t="s">
        <v>1669</v>
      </c>
      <c r="G152" s="16" t="s">
        <v>72</v>
      </c>
      <c r="H152" s="16" t="s">
        <v>72</v>
      </c>
      <c r="I152" s="16"/>
      <c r="J152" s="16" t="s">
        <v>72</v>
      </c>
      <c r="K152" s="16" t="s">
        <v>72</v>
      </c>
      <c r="L152" s="16" t="s">
        <v>72</v>
      </c>
      <c r="M152" s="16" t="s">
        <v>72</v>
      </c>
      <c r="N152" s="16"/>
      <c r="O152" s="16" t="s">
        <v>20</v>
      </c>
      <c r="P152" s="16" t="s">
        <v>1670</v>
      </c>
    </row>
    <row r="153" customFormat="false" ht="15" hidden="false" customHeight="true" outlineLevel="0" collapsed="false">
      <c r="A153" s="16" t="s">
        <v>372</v>
      </c>
      <c r="B153" s="16" t="s">
        <v>719</v>
      </c>
      <c r="C153" s="16" t="s">
        <v>77</v>
      </c>
      <c r="D153" s="16" t="s">
        <v>721</v>
      </c>
      <c r="E153" s="16"/>
      <c r="F153" s="16" t="s">
        <v>1671</v>
      </c>
      <c r="G153" s="16" t="s">
        <v>72</v>
      </c>
      <c r="H153" s="16" t="s">
        <v>72</v>
      </c>
      <c r="I153" s="16"/>
      <c r="J153" s="16" t="s">
        <v>72</v>
      </c>
      <c r="K153" s="16" t="s">
        <v>72</v>
      </c>
      <c r="L153" s="16" t="s">
        <v>72</v>
      </c>
      <c r="M153" s="16" t="s">
        <v>72</v>
      </c>
      <c r="N153" s="16"/>
      <c r="O153" s="16" t="s">
        <v>20</v>
      </c>
      <c r="P153" s="16" t="s">
        <v>1672</v>
      </c>
    </row>
    <row r="154" customFormat="false" ht="15" hidden="false" customHeight="true" outlineLevel="0" collapsed="false">
      <c r="A154" s="16" t="s">
        <v>372</v>
      </c>
      <c r="B154" s="16" t="s">
        <v>723</v>
      </c>
      <c r="C154" s="16" t="s">
        <v>77</v>
      </c>
      <c r="D154" s="16" t="s">
        <v>725</v>
      </c>
      <c r="E154" s="16"/>
      <c r="F154" s="16" t="s">
        <v>1673</v>
      </c>
      <c r="G154" s="16" t="s">
        <v>72</v>
      </c>
      <c r="H154" s="16" t="s">
        <v>72</v>
      </c>
      <c r="I154" s="16"/>
      <c r="J154" s="16" t="s">
        <v>72</v>
      </c>
      <c r="K154" s="16" t="s">
        <v>72</v>
      </c>
      <c r="L154" s="16" t="s">
        <v>72</v>
      </c>
      <c r="M154" s="16" t="s">
        <v>72</v>
      </c>
      <c r="N154" s="16"/>
      <c r="O154" s="16" t="s">
        <v>20</v>
      </c>
      <c r="P154" s="16" t="s">
        <v>1674</v>
      </c>
    </row>
    <row r="155" customFormat="false" ht="15" hidden="false" customHeight="true" outlineLevel="0" collapsed="false">
      <c r="A155" s="16" t="s">
        <v>372</v>
      </c>
      <c r="B155" s="16" t="s">
        <v>727</v>
      </c>
      <c r="C155" s="16" t="s">
        <v>77</v>
      </c>
      <c r="D155" s="16" t="s">
        <v>729</v>
      </c>
      <c r="E155" s="16"/>
      <c r="F155" s="16" t="s">
        <v>1675</v>
      </c>
      <c r="G155" s="16" t="s">
        <v>71</v>
      </c>
      <c r="H155" s="16" t="s">
        <v>72</v>
      </c>
      <c r="I155" s="16"/>
      <c r="J155" s="16" t="s">
        <v>72</v>
      </c>
      <c r="K155" s="16" t="s">
        <v>72</v>
      </c>
      <c r="L155" s="16" t="s">
        <v>72</v>
      </c>
      <c r="M155" s="16" t="s">
        <v>72</v>
      </c>
      <c r="N155" s="16"/>
      <c r="O155" s="16" t="s">
        <v>105</v>
      </c>
      <c r="P155" s="16" t="s">
        <v>1602</v>
      </c>
    </row>
    <row r="156" customFormat="false" ht="15" hidden="false" customHeight="true" outlineLevel="0" collapsed="false">
      <c r="A156" s="16" t="s">
        <v>78</v>
      </c>
      <c r="B156" s="16" t="s">
        <v>730</v>
      </c>
      <c r="C156" s="16" t="s">
        <v>77</v>
      </c>
      <c r="D156" s="16" t="s">
        <v>732</v>
      </c>
      <c r="E156" s="16" t="s">
        <v>733</v>
      </c>
      <c r="F156" s="16" t="s">
        <v>1676</v>
      </c>
      <c r="G156" s="16" t="s">
        <v>72</v>
      </c>
      <c r="H156" s="16" t="s">
        <v>72</v>
      </c>
      <c r="I156" s="16"/>
      <c r="J156" s="16" t="s">
        <v>72</v>
      </c>
      <c r="K156" s="16" t="s">
        <v>72</v>
      </c>
      <c r="L156" s="16" t="s">
        <v>72</v>
      </c>
      <c r="M156" s="16" t="s">
        <v>72</v>
      </c>
      <c r="N156" s="16"/>
      <c r="O156" s="16" t="s">
        <v>20</v>
      </c>
      <c r="P156" s="16" t="s">
        <v>1677</v>
      </c>
    </row>
    <row r="157" customFormat="false" ht="15" hidden="false" customHeight="true" outlineLevel="0" collapsed="false">
      <c r="A157" s="16" t="s">
        <v>78</v>
      </c>
      <c r="B157" s="16" t="s">
        <v>735</v>
      </c>
      <c r="C157" s="16" t="s">
        <v>77</v>
      </c>
      <c r="D157" s="16" t="s">
        <v>737</v>
      </c>
      <c r="E157" s="16"/>
      <c r="F157" s="16" t="s">
        <v>1678</v>
      </c>
      <c r="G157" s="16" t="s">
        <v>72</v>
      </c>
      <c r="H157" s="16" t="s">
        <v>72</v>
      </c>
      <c r="I157" s="16"/>
      <c r="J157" s="16" t="s">
        <v>72</v>
      </c>
      <c r="K157" s="16" t="s">
        <v>72</v>
      </c>
      <c r="L157" s="16" t="s">
        <v>72</v>
      </c>
      <c r="M157" s="16" t="s">
        <v>72</v>
      </c>
      <c r="N157" s="16"/>
      <c r="O157" s="16" t="s">
        <v>20</v>
      </c>
      <c r="P157" s="16" t="s">
        <v>1679</v>
      </c>
    </row>
    <row r="158" customFormat="false" ht="15" hidden="false" customHeight="true" outlineLevel="0" collapsed="false">
      <c r="A158" s="16" t="s">
        <v>492</v>
      </c>
      <c r="B158" s="16" t="s">
        <v>739</v>
      </c>
      <c r="C158" s="16" t="s">
        <v>77</v>
      </c>
      <c r="D158" s="16" t="s">
        <v>742</v>
      </c>
      <c r="E158" s="16"/>
      <c r="F158" s="16" t="s">
        <v>1680</v>
      </c>
      <c r="G158" s="16" t="s">
        <v>72</v>
      </c>
      <c r="H158" s="16" t="s">
        <v>72</v>
      </c>
      <c r="I158" s="16"/>
      <c r="J158" s="16" t="s">
        <v>72</v>
      </c>
      <c r="K158" s="16" t="s">
        <v>72</v>
      </c>
      <c r="L158" s="16" t="s">
        <v>72</v>
      </c>
      <c r="M158" s="16" t="s">
        <v>72</v>
      </c>
      <c r="N158" s="16"/>
      <c r="O158" s="16" t="s">
        <v>20</v>
      </c>
      <c r="P158" s="16" t="s">
        <v>1681</v>
      </c>
    </row>
    <row r="159" customFormat="false" ht="15" hidden="false" customHeight="true" outlineLevel="0" collapsed="false">
      <c r="A159" s="16" t="s">
        <v>492</v>
      </c>
      <c r="B159" s="16" t="s">
        <v>744</v>
      </c>
      <c r="C159" s="16" t="s">
        <v>77</v>
      </c>
      <c r="D159" s="16" t="s">
        <v>746</v>
      </c>
      <c r="E159" s="16" t="s">
        <v>747</v>
      </c>
      <c r="F159" s="16" t="s">
        <v>1682</v>
      </c>
      <c r="G159" s="16" t="s">
        <v>72</v>
      </c>
      <c r="H159" s="16" t="s">
        <v>72</v>
      </c>
      <c r="I159" s="16"/>
      <c r="J159" s="16" t="s">
        <v>72</v>
      </c>
      <c r="K159" s="16" t="s">
        <v>72</v>
      </c>
      <c r="L159" s="16" t="s">
        <v>72</v>
      </c>
      <c r="M159" s="16" t="s">
        <v>72</v>
      </c>
      <c r="N159" s="16"/>
      <c r="O159" s="16" t="s">
        <v>20</v>
      </c>
      <c r="P159" s="16" t="s">
        <v>1683</v>
      </c>
    </row>
    <row r="160" customFormat="false" ht="15" hidden="false" customHeight="true" outlineLevel="0" collapsed="false">
      <c r="A160" s="16" t="s">
        <v>492</v>
      </c>
      <c r="B160" s="16" t="s">
        <v>749</v>
      </c>
      <c r="C160" s="16" t="s">
        <v>77</v>
      </c>
      <c r="D160" s="16" t="s">
        <v>752</v>
      </c>
      <c r="E160" s="16"/>
      <c r="F160" s="16" t="s">
        <v>1684</v>
      </c>
      <c r="G160" s="16" t="s">
        <v>72</v>
      </c>
      <c r="H160" s="16" t="s">
        <v>72</v>
      </c>
      <c r="I160" s="16"/>
      <c r="J160" s="16" t="s">
        <v>72</v>
      </c>
      <c r="K160" s="16" t="s">
        <v>72</v>
      </c>
      <c r="L160" s="16" t="s">
        <v>72</v>
      </c>
      <c r="M160" s="16" t="s">
        <v>72</v>
      </c>
      <c r="N160" s="16"/>
      <c r="O160" s="16" t="s">
        <v>20</v>
      </c>
      <c r="P160" s="16" t="s">
        <v>1685</v>
      </c>
    </row>
    <row r="161" customFormat="false" ht="15" hidden="false" customHeight="true" outlineLevel="0" collapsed="false">
      <c r="A161" s="16" t="s">
        <v>492</v>
      </c>
      <c r="B161" s="16" t="s">
        <v>754</v>
      </c>
      <c r="C161" s="16" t="s">
        <v>77</v>
      </c>
      <c r="D161" s="16" t="s">
        <v>757</v>
      </c>
      <c r="E161" s="16"/>
      <c r="F161" s="16" t="s">
        <v>1686</v>
      </c>
      <c r="G161" s="16" t="s">
        <v>72</v>
      </c>
      <c r="H161" s="16" t="s">
        <v>72</v>
      </c>
      <c r="I161" s="16"/>
      <c r="J161" s="16" t="s">
        <v>72</v>
      </c>
      <c r="K161" s="16" t="s">
        <v>72</v>
      </c>
      <c r="L161" s="16" t="s">
        <v>72</v>
      </c>
      <c r="M161" s="16" t="s">
        <v>72</v>
      </c>
      <c r="N161" s="16"/>
      <c r="O161" s="16" t="s">
        <v>20</v>
      </c>
      <c r="P161" s="16" t="s">
        <v>1687</v>
      </c>
    </row>
    <row r="162" customFormat="false" ht="15" hidden="false" customHeight="true" outlineLevel="0" collapsed="false">
      <c r="A162" s="16" t="s">
        <v>492</v>
      </c>
      <c r="B162" s="16" t="s">
        <v>759</v>
      </c>
      <c r="C162" s="16" t="s">
        <v>77</v>
      </c>
      <c r="D162" s="16" t="s">
        <v>762</v>
      </c>
      <c r="E162" s="16" t="s">
        <v>763</v>
      </c>
      <c r="F162" s="16" t="s">
        <v>1688</v>
      </c>
      <c r="G162" s="16" t="s">
        <v>72</v>
      </c>
      <c r="H162" s="16" t="s">
        <v>72</v>
      </c>
      <c r="I162" s="16"/>
      <c r="J162" s="16" t="s">
        <v>72</v>
      </c>
      <c r="K162" s="16" t="s">
        <v>72</v>
      </c>
      <c r="L162" s="16" t="s">
        <v>72</v>
      </c>
      <c r="M162" s="16" t="s">
        <v>72</v>
      </c>
      <c r="N162" s="16"/>
      <c r="O162" s="16" t="s">
        <v>20</v>
      </c>
      <c r="P162" s="16" t="s">
        <v>1689</v>
      </c>
    </row>
    <row r="163" customFormat="false" ht="15" hidden="false" customHeight="true" outlineLevel="0" collapsed="false">
      <c r="A163" s="16" t="s">
        <v>492</v>
      </c>
      <c r="B163" s="16" t="s">
        <v>765</v>
      </c>
      <c r="C163" s="16" t="s">
        <v>77</v>
      </c>
      <c r="D163" s="16" t="s">
        <v>767</v>
      </c>
      <c r="E163" s="16"/>
      <c r="F163" s="16" t="s">
        <v>1690</v>
      </c>
      <c r="G163" s="16" t="s">
        <v>72</v>
      </c>
      <c r="H163" s="16" t="s">
        <v>72</v>
      </c>
      <c r="I163" s="16"/>
      <c r="J163" s="16" t="s">
        <v>72</v>
      </c>
      <c r="K163" s="16" t="s">
        <v>72</v>
      </c>
      <c r="L163" s="16" t="s">
        <v>72</v>
      </c>
      <c r="M163" s="16" t="s">
        <v>72</v>
      </c>
      <c r="N163" s="16"/>
      <c r="O163" s="16" t="s">
        <v>20</v>
      </c>
      <c r="P163" s="16" t="s">
        <v>1691</v>
      </c>
    </row>
    <row r="164" customFormat="false" ht="15" hidden="false" customHeight="true" outlineLevel="0" collapsed="false">
      <c r="A164" s="16" t="s">
        <v>492</v>
      </c>
      <c r="B164" s="16" t="s">
        <v>769</v>
      </c>
      <c r="C164" s="16" t="s">
        <v>77</v>
      </c>
      <c r="D164" s="16" t="s">
        <v>771</v>
      </c>
      <c r="E164" s="16"/>
      <c r="F164" s="16" t="s">
        <v>1692</v>
      </c>
      <c r="G164" s="16" t="s">
        <v>72</v>
      </c>
      <c r="H164" s="16" t="s">
        <v>72</v>
      </c>
      <c r="I164" s="16"/>
      <c r="J164" s="16" t="s">
        <v>72</v>
      </c>
      <c r="K164" s="16" t="s">
        <v>72</v>
      </c>
      <c r="L164" s="16" t="s">
        <v>72</v>
      </c>
      <c r="M164" s="16" t="s">
        <v>72</v>
      </c>
      <c r="N164" s="16"/>
      <c r="O164" s="16" t="s">
        <v>20</v>
      </c>
      <c r="P164" s="16" t="s">
        <v>1693</v>
      </c>
    </row>
    <row r="165" customFormat="false" ht="15" hidden="false" customHeight="true" outlineLevel="0" collapsed="false">
      <c r="A165" s="16" t="s">
        <v>492</v>
      </c>
      <c r="B165" s="16" t="s">
        <v>773</v>
      </c>
      <c r="C165" s="16" t="s">
        <v>77</v>
      </c>
      <c r="D165" s="16" t="s">
        <v>776</v>
      </c>
      <c r="E165" s="16"/>
      <c r="F165" s="16" t="s">
        <v>1694</v>
      </c>
      <c r="G165" s="16" t="s">
        <v>72</v>
      </c>
      <c r="H165" s="16" t="s">
        <v>72</v>
      </c>
      <c r="I165" s="16"/>
      <c r="J165" s="16" t="s">
        <v>72</v>
      </c>
      <c r="K165" s="16" t="s">
        <v>72</v>
      </c>
      <c r="L165" s="16" t="s">
        <v>72</v>
      </c>
      <c r="M165" s="16" t="s">
        <v>72</v>
      </c>
      <c r="N165" s="16"/>
      <c r="O165" s="16" t="s">
        <v>20</v>
      </c>
      <c r="P165" s="16" t="s">
        <v>1695</v>
      </c>
    </row>
    <row r="166" customFormat="false" ht="15" hidden="false" customHeight="true" outlineLevel="0" collapsed="false">
      <c r="A166" s="16" t="s">
        <v>492</v>
      </c>
      <c r="B166" s="16" t="s">
        <v>778</v>
      </c>
      <c r="C166" s="16" t="s">
        <v>77</v>
      </c>
      <c r="D166" s="16" t="s">
        <v>780</v>
      </c>
      <c r="E166" s="16"/>
      <c r="F166" s="16" t="s">
        <v>1696</v>
      </c>
      <c r="G166" s="16" t="s">
        <v>72</v>
      </c>
      <c r="H166" s="16" t="s">
        <v>72</v>
      </c>
      <c r="I166" s="16"/>
      <c r="J166" s="16" t="s">
        <v>72</v>
      </c>
      <c r="K166" s="16" t="s">
        <v>72</v>
      </c>
      <c r="L166" s="16" t="s">
        <v>72</v>
      </c>
      <c r="M166" s="16" t="s">
        <v>72</v>
      </c>
      <c r="N166" s="16"/>
      <c r="O166" s="16" t="s">
        <v>20</v>
      </c>
      <c r="P166" s="16" t="s">
        <v>1697</v>
      </c>
    </row>
    <row r="167" customFormat="false" ht="15" hidden="false" customHeight="true" outlineLevel="0" collapsed="false">
      <c r="A167" s="16" t="s">
        <v>492</v>
      </c>
      <c r="B167" s="16" t="s">
        <v>782</v>
      </c>
      <c r="C167" s="16" t="s">
        <v>77</v>
      </c>
      <c r="D167" s="16" t="s">
        <v>784</v>
      </c>
      <c r="E167" s="16"/>
      <c r="F167" s="16" t="s">
        <v>1698</v>
      </c>
      <c r="G167" s="16" t="s">
        <v>72</v>
      </c>
      <c r="H167" s="16" t="s">
        <v>72</v>
      </c>
      <c r="I167" s="16"/>
      <c r="J167" s="16" t="s">
        <v>72</v>
      </c>
      <c r="K167" s="16" t="s">
        <v>72</v>
      </c>
      <c r="L167" s="16" t="s">
        <v>72</v>
      </c>
      <c r="M167" s="16" t="s">
        <v>72</v>
      </c>
      <c r="N167" s="16"/>
      <c r="O167" s="16" t="s">
        <v>20</v>
      </c>
      <c r="P167" s="16" t="s">
        <v>1699</v>
      </c>
    </row>
    <row r="168" customFormat="false" ht="15" hidden="false" customHeight="true" outlineLevel="0" collapsed="false">
      <c r="A168" s="16" t="s">
        <v>492</v>
      </c>
      <c r="B168" s="16" t="s">
        <v>786</v>
      </c>
      <c r="C168" s="16" t="s">
        <v>77</v>
      </c>
      <c r="D168" s="16" t="s">
        <v>788</v>
      </c>
      <c r="E168" s="16"/>
      <c r="F168" s="16" t="s">
        <v>1700</v>
      </c>
      <c r="G168" s="16" t="s">
        <v>72</v>
      </c>
      <c r="H168" s="16" t="s">
        <v>72</v>
      </c>
      <c r="I168" s="16"/>
      <c r="J168" s="16" t="s">
        <v>72</v>
      </c>
      <c r="K168" s="16" t="s">
        <v>72</v>
      </c>
      <c r="L168" s="16" t="s">
        <v>72</v>
      </c>
      <c r="M168" s="16" t="s">
        <v>72</v>
      </c>
      <c r="N168" s="16"/>
      <c r="O168" s="16" t="s">
        <v>20</v>
      </c>
      <c r="P168" s="16" t="s">
        <v>1701</v>
      </c>
    </row>
    <row r="169" customFormat="false" ht="15" hidden="false" customHeight="true" outlineLevel="0" collapsed="false">
      <c r="A169" s="16" t="s">
        <v>492</v>
      </c>
      <c r="B169" s="16" t="s">
        <v>790</v>
      </c>
      <c r="C169" s="16" t="s">
        <v>77</v>
      </c>
      <c r="D169" s="16" t="s">
        <v>793</v>
      </c>
      <c r="E169" s="16"/>
      <c r="F169" s="16" t="s">
        <v>1702</v>
      </c>
      <c r="G169" s="16" t="s">
        <v>72</v>
      </c>
      <c r="H169" s="16" t="s">
        <v>72</v>
      </c>
      <c r="I169" s="16"/>
      <c r="J169" s="16" t="s">
        <v>72</v>
      </c>
      <c r="K169" s="16" t="s">
        <v>72</v>
      </c>
      <c r="L169" s="16" t="s">
        <v>72</v>
      </c>
      <c r="M169" s="16" t="s">
        <v>72</v>
      </c>
      <c r="N169" s="16"/>
      <c r="O169" s="16" t="s">
        <v>20</v>
      </c>
      <c r="P169" s="16" t="s">
        <v>1703</v>
      </c>
    </row>
    <row r="170" customFormat="false" ht="15" hidden="false" customHeight="true" outlineLevel="0" collapsed="false">
      <c r="A170" s="16" t="s">
        <v>492</v>
      </c>
      <c r="B170" s="16" t="s">
        <v>795</v>
      </c>
      <c r="C170" s="16" t="s">
        <v>77</v>
      </c>
      <c r="D170" s="16" t="s">
        <v>797</v>
      </c>
      <c r="E170" s="16"/>
      <c r="F170" s="16" t="s">
        <v>1704</v>
      </c>
      <c r="G170" s="16" t="s">
        <v>72</v>
      </c>
      <c r="H170" s="16" t="s">
        <v>72</v>
      </c>
      <c r="I170" s="16"/>
      <c r="J170" s="16" t="s">
        <v>72</v>
      </c>
      <c r="K170" s="16" t="s">
        <v>72</v>
      </c>
      <c r="L170" s="16" t="s">
        <v>72</v>
      </c>
      <c r="M170" s="16" t="s">
        <v>72</v>
      </c>
      <c r="N170" s="16"/>
      <c r="O170" s="16" t="s">
        <v>20</v>
      </c>
      <c r="P170" s="16" t="s">
        <v>1705</v>
      </c>
    </row>
    <row r="171" customFormat="false" ht="15" hidden="false" customHeight="true" outlineLevel="0" collapsed="false">
      <c r="A171" s="16" t="s">
        <v>492</v>
      </c>
      <c r="B171" s="16" t="s">
        <v>799</v>
      </c>
      <c r="C171" s="16" t="s">
        <v>77</v>
      </c>
      <c r="D171" s="16" t="s">
        <v>801</v>
      </c>
      <c r="E171" s="16"/>
      <c r="F171" s="16" t="s">
        <v>1706</v>
      </c>
      <c r="G171" s="16" t="s">
        <v>72</v>
      </c>
      <c r="H171" s="16" t="s">
        <v>72</v>
      </c>
      <c r="I171" s="16"/>
      <c r="J171" s="16" t="s">
        <v>72</v>
      </c>
      <c r="K171" s="16" t="s">
        <v>72</v>
      </c>
      <c r="L171" s="16" t="s">
        <v>72</v>
      </c>
      <c r="M171" s="16" t="s">
        <v>72</v>
      </c>
      <c r="N171" s="16"/>
      <c r="O171" s="16" t="s">
        <v>20</v>
      </c>
      <c r="P171" s="16" t="s">
        <v>1707</v>
      </c>
    </row>
    <row r="172" customFormat="false" ht="15" hidden="false" customHeight="true" outlineLevel="0" collapsed="false">
      <c r="A172" s="16" t="s">
        <v>492</v>
      </c>
      <c r="B172" s="16" t="s">
        <v>803</v>
      </c>
      <c r="C172" s="16" t="s">
        <v>77</v>
      </c>
      <c r="D172" s="16" t="s">
        <v>805</v>
      </c>
      <c r="E172" s="16"/>
      <c r="F172" s="16" t="s">
        <v>1708</v>
      </c>
      <c r="G172" s="16" t="s">
        <v>72</v>
      </c>
      <c r="H172" s="16" t="s">
        <v>72</v>
      </c>
      <c r="I172" s="16"/>
      <c r="J172" s="16" t="s">
        <v>72</v>
      </c>
      <c r="K172" s="16" t="s">
        <v>72</v>
      </c>
      <c r="L172" s="16" t="s">
        <v>72</v>
      </c>
      <c r="M172" s="16" t="s">
        <v>72</v>
      </c>
      <c r="N172" s="16"/>
      <c r="O172" s="16" t="s">
        <v>20</v>
      </c>
      <c r="P172" s="16" t="s">
        <v>1709</v>
      </c>
    </row>
    <row r="173" customFormat="false" ht="15" hidden="false" customHeight="true" outlineLevel="0" collapsed="false">
      <c r="A173" s="16" t="s">
        <v>492</v>
      </c>
      <c r="B173" s="16" t="s">
        <v>807</v>
      </c>
      <c r="C173" s="16" t="s">
        <v>77</v>
      </c>
      <c r="D173" s="16" t="s">
        <v>809</v>
      </c>
      <c r="E173" s="16"/>
      <c r="F173" s="16" t="s">
        <v>1710</v>
      </c>
      <c r="G173" s="16" t="s">
        <v>72</v>
      </c>
      <c r="H173" s="16" t="s">
        <v>72</v>
      </c>
      <c r="I173" s="16"/>
      <c r="J173" s="16" t="s">
        <v>72</v>
      </c>
      <c r="K173" s="16" t="s">
        <v>72</v>
      </c>
      <c r="L173" s="16" t="s">
        <v>72</v>
      </c>
      <c r="M173" s="16" t="s">
        <v>72</v>
      </c>
      <c r="N173" s="16"/>
      <c r="O173" s="16" t="s">
        <v>20</v>
      </c>
      <c r="P173" s="16" t="s">
        <v>1711</v>
      </c>
    </row>
    <row r="174" customFormat="false" ht="15" hidden="false" customHeight="true" outlineLevel="0" collapsed="false">
      <c r="A174" s="16" t="s">
        <v>492</v>
      </c>
      <c r="B174" s="16" t="s">
        <v>811</v>
      </c>
      <c r="C174" s="16" t="s">
        <v>240</v>
      </c>
      <c r="D174" s="16" t="s">
        <v>815</v>
      </c>
      <c r="E174" s="16"/>
      <c r="F174" s="16" t="s">
        <v>1712</v>
      </c>
      <c r="G174" s="16" t="s">
        <v>72</v>
      </c>
      <c r="H174" s="16" t="s">
        <v>72</v>
      </c>
      <c r="I174" s="16"/>
      <c r="J174" s="16" t="s">
        <v>72</v>
      </c>
      <c r="K174" s="16" t="s">
        <v>72</v>
      </c>
      <c r="L174" s="16" t="s">
        <v>72</v>
      </c>
      <c r="M174" s="16" t="s">
        <v>72</v>
      </c>
      <c r="N174" s="16"/>
      <c r="O174" s="16" t="s">
        <v>241</v>
      </c>
      <c r="P174" s="16" t="s">
        <v>1713</v>
      </c>
    </row>
    <row r="175" customFormat="false" ht="15" hidden="false" customHeight="true" outlineLevel="0" collapsed="false">
      <c r="A175" s="16" t="s">
        <v>492</v>
      </c>
      <c r="B175" s="16" t="s">
        <v>817</v>
      </c>
      <c r="C175" s="16" t="s">
        <v>77</v>
      </c>
      <c r="D175" s="16" t="s">
        <v>821</v>
      </c>
      <c r="E175" s="16"/>
      <c r="F175" s="16" t="s">
        <v>1714</v>
      </c>
      <c r="G175" s="16" t="s">
        <v>72</v>
      </c>
      <c r="H175" s="16" t="s">
        <v>72</v>
      </c>
      <c r="I175" s="16"/>
      <c r="J175" s="16" t="s">
        <v>72</v>
      </c>
      <c r="K175" s="16" t="s">
        <v>72</v>
      </c>
      <c r="L175" s="16" t="s">
        <v>72</v>
      </c>
      <c r="M175" s="16" t="s">
        <v>72</v>
      </c>
      <c r="N175" s="16"/>
      <c r="O175" s="16" t="s">
        <v>20</v>
      </c>
      <c r="P175" s="16" t="s">
        <v>823</v>
      </c>
    </row>
    <row r="176" customFormat="false" ht="15" hidden="false" customHeight="true" outlineLevel="0" collapsed="false">
      <c r="A176" s="16" t="s">
        <v>492</v>
      </c>
      <c r="B176" s="16" t="s">
        <v>824</v>
      </c>
      <c r="C176" s="16" t="s">
        <v>77</v>
      </c>
      <c r="D176" s="16" t="s">
        <v>827</v>
      </c>
      <c r="E176" s="16"/>
      <c r="F176" s="16" t="s">
        <v>1715</v>
      </c>
      <c r="G176" s="16" t="s">
        <v>72</v>
      </c>
      <c r="H176" s="16" t="s">
        <v>72</v>
      </c>
      <c r="I176" s="16"/>
      <c r="J176" s="16" t="s">
        <v>72</v>
      </c>
      <c r="K176" s="16" t="s">
        <v>72</v>
      </c>
      <c r="L176" s="16" t="s">
        <v>72</v>
      </c>
      <c r="M176" s="16" t="s">
        <v>72</v>
      </c>
      <c r="N176" s="16"/>
      <c r="O176" s="16" t="s">
        <v>20</v>
      </c>
      <c r="P176" s="16" t="s">
        <v>1716</v>
      </c>
    </row>
    <row r="177" customFormat="false" ht="15" hidden="false" customHeight="true" outlineLevel="0" collapsed="false">
      <c r="A177" s="16" t="s">
        <v>492</v>
      </c>
      <c r="B177" s="16" t="s">
        <v>829</v>
      </c>
      <c r="C177" s="16" t="s">
        <v>77</v>
      </c>
      <c r="D177" s="16" t="s">
        <v>832</v>
      </c>
      <c r="E177" s="16"/>
      <c r="F177" s="16" t="s">
        <v>1717</v>
      </c>
      <c r="G177" s="16" t="s">
        <v>72</v>
      </c>
      <c r="H177" s="16" t="s">
        <v>72</v>
      </c>
      <c r="I177" s="16"/>
      <c r="J177" s="16" t="s">
        <v>72</v>
      </c>
      <c r="K177" s="16" t="s">
        <v>72</v>
      </c>
      <c r="L177" s="16" t="s">
        <v>72</v>
      </c>
      <c r="M177" s="16" t="s">
        <v>72</v>
      </c>
      <c r="N177" s="16"/>
      <c r="O177" s="16" t="s">
        <v>20</v>
      </c>
      <c r="P177" s="16" t="s">
        <v>1718</v>
      </c>
    </row>
    <row r="178" customFormat="false" ht="15" hidden="false" customHeight="true" outlineLevel="0" collapsed="false">
      <c r="A178" s="16" t="s">
        <v>492</v>
      </c>
      <c r="B178" s="16" t="s">
        <v>834</v>
      </c>
      <c r="C178" s="16" t="s">
        <v>77</v>
      </c>
      <c r="D178" s="16" t="s">
        <v>836</v>
      </c>
      <c r="E178" s="16"/>
      <c r="F178" s="16" t="s">
        <v>1719</v>
      </c>
      <c r="G178" s="16" t="s">
        <v>72</v>
      </c>
      <c r="H178" s="16" t="s">
        <v>72</v>
      </c>
      <c r="I178" s="16"/>
      <c r="J178" s="16" t="s">
        <v>72</v>
      </c>
      <c r="K178" s="16" t="s">
        <v>72</v>
      </c>
      <c r="L178" s="16" t="s">
        <v>72</v>
      </c>
      <c r="M178" s="16" t="s">
        <v>72</v>
      </c>
      <c r="N178" s="16"/>
      <c r="O178" s="16" t="s">
        <v>20</v>
      </c>
      <c r="P178" s="16" t="s">
        <v>1720</v>
      </c>
    </row>
    <row r="179" customFormat="false" ht="15" hidden="false" customHeight="true" outlineLevel="0" collapsed="false">
      <c r="A179" s="16" t="s">
        <v>492</v>
      </c>
      <c r="B179" s="16" t="s">
        <v>838</v>
      </c>
      <c r="C179" s="16" t="s">
        <v>77</v>
      </c>
      <c r="D179" s="16" t="s">
        <v>840</v>
      </c>
      <c r="E179" s="16"/>
      <c r="F179" s="16" t="s">
        <v>1721</v>
      </c>
      <c r="G179" s="16" t="s">
        <v>72</v>
      </c>
      <c r="H179" s="16" t="s">
        <v>72</v>
      </c>
      <c r="I179" s="16"/>
      <c r="J179" s="16" t="s">
        <v>72</v>
      </c>
      <c r="K179" s="16" t="s">
        <v>72</v>
      </c>
      <c r="L179" s="16" t="s">
        <v>72</v>
      </c>
      <c r="M179" s="16" t="s">
        <v>72</v>
      </c>
      <c r="N179" s="16"/>
      <c r="O179" s="16" t="s">
        <v>20</v>
      </c>
      <c r="P179" s="16" t="s">
        <v>1722</v>
      </c>
    </row>
    <row r="180" customFormat="false" ht="15" hidden="false" customHeight="true" outlineLevel="0" collapsed="false"/>
    <row r="181" customFormat="false" ht="15" hidden="false" customHeight="true" outlineLevel="0" collapsed="false"/>
    <row r="182" customFormat="false" ht="15" hidden="false" customHeight="true" outlineLevel="0" collapsed="false"/>
    <row r="183" customFormat="false" ht="15" hidden="false" customHeight="true" outlineLevel="0" collapsed="false"/>
    <row r="184" customFormat="false" ht="15" hidden="false" customHeight="true" outlineLevel="0" collapsed="false"/>
    <row r="185" customFormat="false" ht="15" hidden="false" customHeight="true" outlineLevel="0" collapsed="false"/>
    <row r="186" customFormat="false" ht="15" hidden="false" customHeight="true" outlineLevel="0" collapsed="false"/>
    <row r="187" customFormat="false" ht="15" hidden="false" customHeight="true" outlineLevel="0" collapsed="false"/>
    <row r="188" customFormat="false" ht="15" hidden="false" customHeight="true" outlineLevel="0" collapsed="false"/>
    <row r="189" customFormat="false" ht="15" hidden="false" customHeight="true" outlineLevel="0" collapsed="false"/>
    <row r="190" customFormat="false" ht="15" hidden="false" customHeight="true" outlineLevel="0" collapsed="false"/>
    <row r="191" customFormat="false" ht="15" hidden="false" customHeight="true" outlineLevel="0" collapsed="false"/>
    <row r="192" customFormat="false" ht="15" hidden="false" customHeight="true" outlineLevel="0" collapsed="false"/>
    <row r="193" customFormat="false" ht="15" hidden="false" customHeight="true" outlineLevel="0" collapsed="false"/>
    <row r="194" customFormat="false" ht="15" hidden="false" customHeight="true" outlineLevel="0" collapsed="false"/>
    <row r="195" customFormat="false" ht="15" hidden="false" customHeight="true" outlineLevel="0" collapsed="false"/>
    <row r="196" customFormat="false" ht="15" hidden="false" customHeight="true" outlineLevel="0" collapsed="false"/>
    <row r="197" customFormat="false" ht="15" hidden="false" customHeight="true" outlineLevel="0" collapsed="false"/>
    <row r="198" customFormat="false" ht="15" hidden="false" customHeight="true" outlineLevel="0" collapsed="false"/>
    <row r="199" customFormat="false" ht="15" hidden="false" customHeight="true" outlineLevel="0" collapsed="false"/>
    <row r="200" customFormat="false" ht="15" hidden="false" customHeight="true" outlineLevel="0" collapsed="false"/>
    <row r="201" customFormat="false" ht="15" hidden="false" customHeight="true" outlineLevel="0" collapsed="false"/>
    <row r="202" customFormat="false" ht="15" hidden="false" customHeight="true" outlineLevel="0" collapsed="false"/>
    <row r="203" customFormat="false" ht="15" hidden="false" customHeight="true" outlineLevel="0" collapsed="false"/>
    <row r="204" customFormat="false" ht="15" hidden="false" customHeight="true" outlineLevel="0" collapsed="false"/>
    <row r="205" customFormat="false" ht="15" hidden="false" customHeight="true" outlineLevel="0" collapsed="false"/>
    <row r="206" customFormat="false" ht="15" hidden="false" customHeight="true" outlineLevel="0" collapsed="false"/>
    <row r="207" customFormat="false" ht="15" hidden="false" customHeight="true" outlineLevel="0" collapsed="false"/>
    <row r="208" customFormat="false" ht="15" hidden="false" customHeight="true" outlineLevel="0" collapsed="false"/>
    <row r="209" customFormat="false" ht="15" hidden="false" customHeight="true" outlineLevel="0" collapsed="false"/>
    <row r="210" customFormat="false" ht="15" hidden="false" customHeight="true" outlineLevel="0" collapsed="false"/>
    <row r="211" customFormat="false" ht="15" hidden="false" customHeight="true" outlineLevel="0" collapsed="false"/>
    <row r="212" customFormat="false" ht="15" hidden="false" customHeight="true" outlineLevel="0" collapsed="false"/>
    <row r="213" customFormat="false" ht="15" hidden="false" customHeight="true" outlineLevel="0" collapsed="false"/>
    <row r="214" customFormat="false" ht="15" hidden="false" customHeight="true" outlineLevel="0" collapsed="false"/>
    <row r="215" customFormat="false" ht="15" hidden="false" customHeight="true" outlineLevel="0" collapsed="false"/>
    <row r="216" customFormat="false" ht="15" hidden="false" customHeight="true" outlineLevel="0" collapsed="false"/>
    <row r="217" customFormat="false" ht="15" hidden="false" customHeight="true" outlineLevel="0" collapsed="false"/>
    <row r="218" customFormat="false" ht="15" hidden="false" customHeight="true" outlineLevel="0" collapsed="false"/>
    <row r="219" customFormat="false" ht="15" hidden="false" customHeight="true" outlineLevel="0" collapsed="false"/>
    <row r="220" customFormat="false" ht="15" hidden="false" customHeight="true" outlineLevel="0" collapsed="false"/>
    <row r="221" customFormat="false" ht="15" hidden="false" customHeight="true" outlineLevel="0" collapsed="false"/>
    <row r="222" customFormat="false" ht="15" hidden="false" customHeight="true" outlineLevel="0" collapsed="false"/>
    <row r="223" customFormat="false" ht="15" hidden="false" customHeight="true" outlineLevel="0" collapsed="false"/>
    <row r="224" customFormat="false" ht="15" hidden="false" customHeight="true" outlineLevel="0" collapsed="false"/>
    <row r="225" customFormat="false" ht="15" hidden="false" customHeight="true" outlineLevel="0" collapsed="false"/>
    <row r="226" customFormat="false" ht="15" hidden="false" customHeight="true" outlineLevel="0" collapsed="false"/>
    <row r="227" customFormat="false" ht="15" hidden="false" customHeight="true" outlineLevel="0" collapsed="false"/>
    <row r="228" customFormat="false" ht="15" hidden="false" customHeight="true" outlineLevel="0" collapsed="false"/>
    <row r="229" customFormat="false" ht="15" hidden="false" customHeight="true" outlineLevel="0" collapsed="false"/>
    <row r="230" customFormat="false" ht="15" hidden="false" customHeight="true" outlineLevel="0" collapsed="false"/>
    <row r="231" customFormat="false" ht="15" hidden="false" customHeight="true" outlineLevel="0" collapsed="false"/>
    <row r="232" customFormat="false" ht="15" hidden="false" customHeight="true" outlineLevel="0" collapsed="false"/>
    <row r="233" customFormat="false" ht="15" hidden="false" customHeight="true" outlineLevel="0" collapsed="false"/>
    <row r="234" customFormat="false" ht="15" hidden="false" customHeight="true" outlineLevel="0" collapsed="false"/>
    <row r="235" customFormat="false" ht="15" hidden="false" customHeight="true" outlineLevel="0" collapsed="false"/>
    <row r="236" customFormat="false" ht="15" hidden="false" customHeight="true" outlineLevel="0" collapsed="false"/>
    <row r="237" customFormat="false" ht="15" hidden="false" customHeight="true" outlineLevel="0" collapsed="false"/>
    <row r="238" customFormat="false" ht="15" hidden="false" customHeight="true" outlineLevel="0" collapsed="false"/>
    <row r="239" customFormat="false" ht="15" hidden="false" customHeight="true" outlineLevel="0" collapsed="false"/>
    <row r="240" customFormat="false" ht="15" hidden="false" customHeight="true" outlineLevel="0" collapsed="false"/>
    <row r="241" customFormat="false" ht="15" hidden="false" customHeight="true" outlineLevel="0" collapsed="false"/>
    <row r="242" customFormat="false" ht="15" hidden="false" customHeight="true" outlineLevel="0" collapsed="false"/>
    <row r="243" customFormat="false" ht="15" hidden="false" customHeight="true" outlineLevel="0" collapsed="false"/>
    <row r="244" customFormat="false" ht="15" hidden="false" customHeight="true" outlineLevel="0" collapsed="false"/>
    <row r="245" customFormat="false" ht="15" hidden="false" customHeight="true" outlineLevel="0" collapsed="false"/>
    <row r="246" customFormat="false" ht="15" hidden="false" customHeight="true" outlineLevel="0" collapsed="false"/>
    <row r="247" customFormat="false" ht="15" hidden="false" customHeight="true" outlineLevel="0" collapsed="false"/>
    <row r="248" customFormat="false" ht="15" hidden="false" customHeight="true" outlineLevel="0" collapsed="false"/>
    <row r="249" customFormat="false" ht="15" hidden="false" customHeight="true" outlineLevel="0" collapsed="false"/>
    <row r="250" customFormat="false" ht="15" hidden="false" customHeight="true" outlineLevel="0" collapsed="false"/>
    <row r="251" customFormat="false" ht="15" hidden="false" customHeight="true" outlineLevel="0" collapsed="false"/>
    <row r="252" customFormat="false" ht="15" hidden="false" customHeight="true" outlineLevel="0" collapsed="false"/>
    <row r="253" customFormat="false" ht="15" hidden="false" customHeight="true" outlineLevel="0" collapsed="false"/>
    <row r="254" customFormat="false" ht="15" hidden="false" customHeight="true" outlineLevel="0" collapsed="false"/>
    <row r="255" customFormat="false" ht="15" hidden="false" customHeight="true" outlineLevel="0" collapsed="false"/>
    <row r="256" customFormat="false" ht="15" hidden="false" customHeight="true" outlineLevel="0" collapsed="false"/>
    <row r="257" customFormat="false" ht="15" hidden="false" customHeight="true" outlineLevel="0" collapsed="false"/>
    <row r="258" customFormat="false" ht="15" hidden="false" customHeight="true" outlineLevel="0" collapsed="false"/>
    <row r="259" customFormat="false" ht="15" hidden="false" customHeight="true" outlineLevel="0" collapsed="false"/>
    <row r="260" customFormat="false" ht="15" hidden="false" customHeight="true" outlineLevel="0" collapsed="false"/>
    <row r="261" customFormat="false" ht="15" hidden="false" customHeight="true" outlineLevel="0" collapsed="false"/>
    <row r="262" customFormat="false" ht="15" hidden="false" customHeight="true" outlineLevel="0" collapsed="false"/>
    <row r="263" customFormat="false" ht="15" hidden="false" customHeight="true" outlineLevel="0" collapsed="false"/>
    <row r="264" customFormat="false" ht="15" hidden="false" customHeight="true" outlineLevel="0" collapsed="false"/>
    <row r="265" customFormat="false" ht="15" hidden="false" customHeight="true" outlineLevel="0" collapsed="false"/>
    <row r="266" customFormat="false" ht="15" hidden="false" customHeight="true" outlineLevel="0" collapsed="false"/>
    <row r="267" customFormat="false" ht="15" hidden="false" customHeight="true" outlineLevel="0" collapsed="false"/>
    <row r="268" customFormat="false" ht="15" hidden="false" customHeight="true" outlineLevel="0" collapsed="false"/>
    <row r="269" customFormat="false" ht="15" hidden="false" customHeight="true" outlineLevel="0" collapsed="false"/>
    <row r="270" customFormat="false" ht="15" hidden="false" customHeight="true" outlineLevel="0" collapsed="false"/>
    <row r="271" customFormat="false" ht="15" hidden="false" customHeight="true" outlineLevel="0" collapsed="false"/>
    <row r="272" customFormat="false" ht="15" hidden="false" customHeight="true" outlineLevel="0" collapsed="false"/>
    <row r="273" customFormat="false" ht="15" hidden="false" customHeight="true" outlineLevel="0" collapsed="false"/>
    <row r="274" customFormat="false" ht="15" hidden="false" customHeight="true" outlineLevel="0" collapsed="false"/>
    <row r="275" customFormat="false" ht="15" hidden="false" customHeight="true" outlineLevel="0" collapsed="false"/>
    <row r="276" customFormat="false" ht="15" hidden="false" customHeight="true" outlineLevel="0" collapsed="false"/>
    <row r="277" customFormat="false" ht="15" hidden="false" customHeight="true" outlineLevel="0" collapsed="false"/>
    <row r="278" customFormat="false" ht="15" hidden="false" customHeight="true" outlineLevel="0" collapsed="false"/>
    <row r="279" customFormat="false" ht="15" hidden="false" customHeight="true" outlineLevel="0" collapsed="false"/>
    <row r="280" customFormat="false" ht="15" hidden="false" customHeight="true" outlineLevel="0" collapsed="false"/>
    <row r="281" customFormat="false" ht="15" hidden="false" customHeight="true" outlineLevel="0" collapsed="false"/>
    <row r="282" customFormat="false" ht="15" hidden="false" customHeight="true" outlineLevel="0" collapsed="false"/>
    <row r="283" customFormat="false" ht="15" hidden="false" customHeight="true" outlineLevel="0" collapsed="false"/>
    <row r="284" customFormat="false" ht="15" hidden="false" customHeight="true" outlineLevel="0" collapsed="false"/>
    <row r="285" customFormat="false" ht="15" hidden="false" customHeight="true" outlineLevel="0" collapsed="false"/>
    <row r="286" customFormat="false" ht="15" hidden="false" customHeight="true" outlineLevel="0" collapsed="false"/>
    <row r="287" customFormat="false" ht="15" hidden="false" customHeight="true" outlineLevel="0" collapsed="false"/>
    <row r="288" customFormat="false" ht="15" hidden="false" customHeight="true" outlineLevel="0" collapsed="false"/>
    <row r="289" customFormat="false" ht="15" hidden="false" customHeight="true" outlineLevel="0" collapsed="false"/>
    <row r="290" customFormat="false" ht="15" hidden="false" customHeight="true" outlineLevel="0" collapsed="false"/>
    <row r="291" customFormat="false" ht="15" hidden="false" customHeight="true" outlineLevel="0" collapsed="false"/>
    <row r="292" customFormat="false" ht="15" hidden="false" customHeight="true" outlineLevel="0" collapsed="false"/>
    <row r="293" customFormat="false" ht="15" hidden="false" customHeight="true" outlineLevel="0" collapsed="false"/>
    <row r="294" customFormat="false" ht="15" hidden="false" customHeight="true" outlineLevel="0" collapsed="false"/>
    <row r="295" customFormat="false" ht="15" hidden="false" customHeight="true" outlineLevel="0" collapsed="false"/>
    <row r="296" customFormat="false" ht="15" hidden="false" customHeight="true" outlineLevel="0" collapsed="false"/>
    <row r="297" customFormat="false" ht="15" hidden="false" customHeight="true" outlineLevel="0" collapsed="false"/>
    <row r="298" customFormat="false" ht="15" hidden="false" customHeight="true" outlineLevel="0" collapsed="false"/>
    <row r="299" customFormat="false" ht="15" hidden="false" customHeight="true" outlineLevel="0" collapsed="false"/>
    <row r="300" customFormat="false" ht="15" hidden="false" customHeight="true" outlineLevel="0" collapsed="false"/>
    <row r="301" customFormat="false" ht="15" hidden="false" customHeight="true" outlineLevel="0" collapsed="false"/>
    <row r="302" customFormat="false" ht="15" hidden="false" customHeight="true" outlineLevel="0" collapsed="false"/>
    <row r="303" customFormat="false" ht="15" hidden="false" customHeight="true" outlineLevel="0" collapsed="false"/>
    <row r="304" customFormat="false" ht="15" hidden="false" customHeight="true" outlineLevel="0" collapsed="false"/>
    <row r="305" customFormat="false" ht="15" hidden="false" customHeight="true" outlineLevel="0" collapsed="false"/>
    <row r="306" customFormat="false" ht="15" hidden="false" customHeight="true" outlineLevel="0" collapsed="false"/>
    <row r="307" customFormat="false" ht="15" hidden="false" customHeight="true" outlineLevel="0" collapsed="false"/>
    <row r="308" customFormat="false" ht="15" hidden="false" customHeight="true" outlineLevel="0" collapsed="false"/>
    <row r="309" customFormat="false" ht="15" hidden="false" customHeight="true" outlineLevel="0" collapsed="false"/>
    <row r="310" customFormat="false" ht="15" hidden="false" customHeight="true" outlineLevel="0" collapsed="false"/>
    <row r="311" customFormat="false" ht="15" hidden="false" customHeight="true" outlineLevel="0" collapsed="false"/>
    <row r="312" customFormat="false" ht="15" hidden="false" customHeight="true" outlineLevel="0" collapsed="false"/>
    <row r="313" customFormat="false" ht="15" hidden="false" customHeight="true" outlineLevel="0" collapsed="false"/>
    <row r="314" customFormat="false" ht="15" hidden="false" customHeight="true" outlineLevel="0" collapsed="false"/>
    <row r="315" customFormat="false" ht="15" hidden="false" customHeight="true" outlineLevel="0" collapsed="false"/>
    <row r="316" customFormat="false" ht="15" hidden="false" customHeight="true" outlineLevel="0" collapsed="false"/>
    <row r="317" customFormat="false" ht="15" hidden="false" customHeight="true" outlineLevel="0" collapsed="false"/>
    <row r="318" customFormat="false" ht="15" hidden="false" customHeight="true" outlineLevel="0" collapsed="false"/>
    <row r="319" customFormat="false" ht="15" hidden="false" customHeight="true" outlineLevel="0" collapsed="false"/>
    <row r="320" customFormat="false" ht="15" hidden="false" customHeight="true" outlineLevel="0" collapsed="false"/>
    <row r="321" customFormat="false" ht="15" hidden="false" customHeight="true" outlineLevel="0" collapsed="false"/>
    <row r="322" customFormat="false" ht="15" hidden="false" customHeight="true" outlineLevel="0" collapsed="false"/>
    <row r="323" customFormat="false" ht="15" hidden="false" customHeight="true" outlineLevel="0" collapsed="false"/>
    <row r="324" customFormat="false" ht="15" hidden="false" customHeight="true" outlineLevel="0" collapsed="false"/>
    <row r="325" customFormat="false" ht="15" hidden="false" customHeight="true" outlineLevel="0" collapsed="false"/>
    <row r="326" customFormat="false" ht="15" hidden="false" customHeight="true" outlineLevel="0" collapsed="false"/>
    <row r="327" customFormat="false" ht="15" hidden="false" customHeight="true" outlineLevel="0" collapsed="false"/>
    <row r="328" customFormat="false" ht="15" hidden="false" customHeight="true" outlineLevel="0" collapsed="false"/>
    <row r="329" customFormat="false" ht="15" hidden="false" customHeight="true" outlineLevel="0" collapsed="false"/>
    <row r="330" customFormat="false" ht="15" hidden="false" customHeight="true" outlineLevel="0" collapsed="false"/>
    <row r="331" customFormat="false" ht="15" hidden="false" customHeight="true" outlineLevel="0" collapsed="false"/>
    <row r="332" customFormat="false" ht="15" hidden="false" customHeight="true" outlineLevel="0" collapsed="false"/>
    <row r="333" customFormat="false" ht="15" hidden="false" customHeight="true" outlineLevel="0" collapsed="false"/>
    <row r="334" customFormat="false" ht="15" hidden="false" customHeight="true" outlineLevel="0" collapsed="false"/>
    <row r="335" customFormat="false" ht="15" hidden="false" customHeight="true" outlineLevel="0" collapsed="false"/>
    <row r="336" customFormat="false" ht="15" hidden="false" customHeight="true" outlineLevel="0" collapsed="false"/>
    <row r="337" customFormat="false" ht="15" hidden="false" customHeight="true" outlineLevel="0" collapsed="false"/>
    <row r="338" customFormat="false" ht="15" hidden="false" customHeight="true" outlineLevel="0" collapsed="false"/>
    <row r="339" customFormat="false" ht="15" hidden="false" customHeight="true" outlineLevel="0" collapsed="false"/>
    <row r="340" customFormat="false" ht="15" hidden="false" customHeight="true" outlineLevel="0" collapsed="false"/>
    <row r="341" customFormat="false" ht="15" hidden="false" customHeight="true" outlineLevel="0" collapsed="false"/>
    <row r="342" customFormat="false" ht="15" hidden="false" customHeight="true" outlineLevel="0" collapsed="false"/>
    <row r="343" customFormat="false" ht="15" hidden="false" customHeight="true" outlineLevel="0" collapsed="false"/>
    <row r="344" customFormat="false" ht="15" hidden="false" customHeight="true" outlineLevel="0" collapsed="false"/>
    <row r="345" customFormat="false" ht="15" hidden="false" customHeight="true" outlineLevel="0" collapsed="false"/>
    <row r="346" customFormat="false" ht="15" hidden="false" customHeight="true" outlineLevel="0" collapsed="false"/>
    <row r="347" customFormat="false" ht="15" hidden="false" customHeight="true" outlineLevel="0" collapsed="false"/>
    <row r="348" customFormat="false" ht="15" hidden="false" customHeight="true" outlineLevel="0" collapsed="false"/>
    <row r="349" customFormat="false" ht="15" hidden="false" customHeight="true" outlineLevel="0" collapsed="false"/>
    <row r="350" customFormat="false" ht="15" hidden="false" customHeight="true" outlineLevel="0" collapsed="false"/>
    <row r="351" customFormat="false" ht="15" hidden="false" customHeight="true" outlineLevel="0" collapsed="false"/>
    <row r="352" customFormat="false" ht="15" hidden="false" customHeight="true" outlineLevel="0" collapsed="false"/>
    <row r="353" customFormat="false" ht="15" hidden="false" customHeight="true" outlineLevel="0" collapsed="false"/>
    <row r="354" customFormat="false" ht="15" hidden="false" customHeight="true" outlineLevel="0" collapsed="false"/>
    <row r="355" customFormat="false" ht="15" hidden="false" customHeight="true" outlineLevel="0" collapsed="false"/>
    <row r="356" customFormat="false" ht="15" hidden="false" customHeight="true" outlineLevel="0" collapsed="false"/>
    <row r="357" customFormat="false" ht="15" hidden="false" customHeight="true" outlineLevel="0" collapsed="false"/>
    <row r="358" customFormat="false" ht="15" hidden="false" customHeight="true" outlineLevel="0" collapsed="false"/>
    <row r="359" customFormat="false" ht="15" hidden="false" customHeight="true" outlineLevel="0" collapsed="false"/>
    <row r="360" customFormat="false" ht="15" hidden="false" customHeight="true" outlineLevel="0" collapsed="false"/>
    <row r="361" customFormat="false" ht="15" hidden="false" customHeight="true" outlineLevel="0" collapsed="false"/>
    <row r="362" customFormat="false" ht="15" hidden="false" customHeight="true" outlineLevel="0" collapsed="false"/>
    <row r="363" customFormat="false" ht="15" hidden="false" customHeight="true" outlineLevel="0" collapsed="false"/>
    <row r="364" customFormat="false" ht="15" hidden="false" customHeight="true" outlineLevel="0" collapsed="false"/>
    <row r="365" customFormat="false" ht="15" hidden="false" customHeight="true" outlineLevel="0" collapsed="false"/>
    <row r="366" customFormat="false" ht="15" hidden="false" customHeight="true" outlineLevel="0" collapsed="false"/>
    <row r="367" customFormat="false" ht="15" hidden="false" customHeight="true" outlineLevel="0" collapsed="false"/>
    <row r="368" customFormat="false" ht="15" hidden="false" customHeight="true" outlineLevel="0" collapsed="false"/>
    <row r="369" customFormat="false" ht="15" hidden="false" customHeight="true" outlineLevel="0" collapsed="false"/>
    <row r="370" customFormat="false" ht="15" hidden="false" customHeight="true" outlineLevel="0" collapsed="false"/>
    <row r="371" customFormat="false" ht="15" hidden="false" customHeight="true" outlineLevel="0" collapsed="false"/>
    <row r="372" customFormat="false" ht="15" hidden="false" customHeight="true" outlineLevel="0" collapsed="false"/>
    <row r="373" customFormat="false" ht="15" hidden="false" customHeight="true" outlineLevel="0" collapsed="false"/>
    <row r="374" customFormat="false" ht="15" hidden="false" customHeight="true" outlineLevel="0" collapsed="false"/>
    <row r="375" customFormat="false" ht="15" hidden="false" customHeight="true" outlineLevel="0" collapsed="false"/>
    <row r="376" customFormat="false" ht="15" hidden="false" customHeight="true" outlineLevel="0" collapsed="false"/>
    <row r="377" customFormat="false" ht="15" hidden="false" customHeight="true" outlineLevel="0" collapsed="false"/>
    <row r="378" customFormat="false" ht="15" hidden="false" customHeight="true" outlineLevel="0" collapsed="false"/>
    <row r="379" customFormat="false" ht="15" hidden="false" customHeight="true" outlineLevel="0" collapsed="false"/>
    <row r="380" customFormat="false" ht="15" hidden="false" customHeight="true" outlineLevel="0" collapsed="false"/>
    <row r="381" customFormat="false" ht="15" hidden="false" customHeight="true" outlineLevel="0" collapsed="false"/>
    <row r="382" customFormat="false" ht="15" hidden="false" customHeight="true" outlineLevel="0" collapsed="false"/>
    <row r="383" customFormat="false" ht="15" hidden="false" customHeight="true" outlineLevel="0" collapsed="false"/>
    <row r="384" customFormat="false" ht="15" hidden="false" customHeight="true" outlineLevel="0" collapsed="false"/>
    <row r="385" customFormat="false" ht="15" hidden="false" customHeight="true" outlineLevel="0" collapsed="false"/>
    <row r="386" customFormat="false" ht="15" hidden="false" customHeight="true" outlineLevel="0" collapsed="false"/>
    <row r="387" customFormat="false" ht="15" hidden="false" customHeight="true" outlineLevel="0" collapsed="false"/>
    <row r="388" customFormat="false" ht="15" hidden="false" customHeight="true" outlineLevel="0" collapsed="false"/>
    <row r="389" customFormat="false" ht="15" hidden="false" customHeight="true" outlineLevel="0" collapsed="false"/>
    <row r="390" customFormat="false" ht="15" hidden="false" customHeight="true" outlineLevel="0" collapsed="false"/>
    <row r="391" customFormat="false" ht="15" hidden="false" customHeight="true" outlineLevel="0" collapsed="false"/>
    <row r="392" customFormat="false" ht="15" hidden="false" customHeight="true" outlineLevel="0" collapsed="false"/>
    <row r="393" customFormat="false" ht="15" hidden="false" customHeight="true" outlineLevel="0" collapsed="false"/>
    <row r="394" customFormat="false" ht="15" hidden="false" customHeight="true" outlineLevel="0" collapsed="false"/>
    <row r="395" customFormat="false" ht="15" hidden="false" customHeight="true" outlineLevel="0" collapsed="false"/>
    <row r="396" customFormat="false" ht="15" hidden="false" customHeight="true" outlineLevel="0" collapsed="false"/>
    <row r="397" customFormat="false" ht="15" hidden="false" customHeight="true" outlineLevel="0" collapsed="false"/>
    <row r="398" customFormat="false" ht="15" hidden="false" customHeight="true" outlineLevel="0" collapsed="false"/>
    <row r="399" customFormat="false" ht="15" hidden="false" customHeight="true" outlineLevel="0" collapsed="false"/>
    <row r="400" customFormat="false" ht="15" hidden="false" customHeight="true" outlineLevel="0" collapsed="false"/>
    <row r="401" customFormat="false" ht="15" hidden="false" customHeight="true" outlineLevel="0" collapsed="false"/>
    <row r="402" customFormat="false" ht="15" hidden="false" customHeight="true" outlineLevel="0" collapsed="false"/>
    <row r="403" customFormat="false" ht="15" hidden="false" customHeight="true" outlineLevel="0" collapsed="false"/>
    <row r="404" customFormat="false" ht="15" hidden="false" customHeight="true" outlineLevel="0" collapsed="false"/>
    <row r="405" customFormat="false" ht="15" hidden="false" customHeight="true" outlineLevel="0" collapsed="false"/>
    <row r="406" customFormat="false" ht="15" hidden="false" customHeight="true" outlineLevel="0" collapsed="false"/>
    <row r="407" customFormat="false" ht="15" hidden="false" customHeight="true" outlineLevel="0" collapsed="false"/>
    <row r="408" customFormat="false" ht="15" hidden="false" customHeight="true" outlineLevel="0" collapsed="false"/>
    <row r="409" customFormat="false" ht="15" hidden="false" customHeight="true" outlineLevel="0" collapsed="false"/>
    <row r="410" customFormat="false" ht="15" hidden="false" customHeight="true" outlineLevel="0" collapsed="false"/>
    <row r="411" customFormat="false" ht="15" hidden="false" customHeight="true" outlineLevel="0" collapsed="false"/>
    <row r="412" customFormat="false" ht="15" hidden="false" customHeight="true" outlineLevel="0" collapsed="false"/>
    <row r="413" customFormat="false" ht="15" hidden="false" customHeight="true" outlineLevel="0" collapsed="false"/>
    <row r="414" customFormat="false" ht="15" hidden="false" customHeight="true" outlineLevel="0" collapsed="false"/>
    <row r="415" customFormat="false" ht="15" hidden="false" customHeight="true" outlineLevel="0" collapsed="false"/>
    <row r="416" customFormat="false" ht="15" hidden="false" customHeight="true" outlineLevel="0" collapsed="false"/>
    <row r="417" customFormat="false" ht="15" hidden="false" customHeight="true" outlineLevel="0" collapsed="false"/>
    <row r="418" customFormat="false" ht="15" hidden="false" customHeight="true" outlineLevel="0" collapsed="false"/>
    <row r="419" customFormat="false" ht="15" hidden="false" customHeight="true" outlineLevel="0" collapsed="false"/>
    <row r="420" customFormat="false" ht="15" hidden="false" customHeight="true" outlineLevel="0" collapsed="false"/>
    <row r="421" customFormat="false" ht="15" hidden="false" customHeight="true" outlineLevel="0" collapsed="false"/>
    <row r="422" customFormat="false" ht="15" hidden="false" customHeight="true" outlineLevel="0" collapsed="false"/>
    <row r="423" customFormat="false" ht="15" hidden="false" customHeight="true" outlineLevel="0" collapsed="false"/>
    <row r="424" customFormat="false" ht="15" hidden="false" customHeight="true" outlineLevel="0" collapsed="false"/>
    <row r="425" customFormat="false" ht="15" hidden="false" customHeight="true" outlineLevel="0" collapsed="false"/>
    <row r="426" customFormat="false" ht="15" hidden="false" customHeight="true" outlineLevel="0" collapsed="false"/>
    <row r="427" customFormat="false" ht="15" hidden="false" customHeight="true" outlineLevel="0" collapsed="false"/>
    <row r="428" customFormat="false" ht="15" hidden="false" customHeight="true" outlineLevel="0" collapsed="false"/>
    <row r="429" customFormat="false" ht="15" hidden="false" customHeight="true" outlineLevel="0" collapsed="false"/>
    <row r="430" customFormat="false" ht="15" hidden="false" customHeight="true" outlineLevel="0" collapsed="false"/>
    <row r="431" customFormat="false" ht="15" hidden="false" customHeight="true" outlineLevel="0" collapsed="false"/>
    <row r="432" customFormat="false" ht="15" hidden="false" customHeight="true" outlineLevel="0" collapsed="false"/>
    <row r="433" customFormat="false" ht="15" hidden="false" customHeight="true" outlineLevel="0" collapsed="false"/>
    <row r="434" customFormat="false" ht="15" hidden="false" customHeight="true" outlineLevel="0" collapsed="false"/>
    <row r="435" customFormat="false" ht="15" hidden="false" customHeight="true" outlineLevel="0" collapsed="false"/>
    <row r="436" customFormat="false" ht="15" hidden="false" customHeight="true" outlineLevel="0" collapsed="false"/>
    <row r="437" customFormat="false" ht="15" hidden="false" customHeight="true" outlineLevel="0" collapsed="false"/>
    <row r="438" customFormat="false" ht="15" hidden="false" customHeight="true" outlineLevel="0" collapsed="false"/>
    <row r="439" customFormat="false" ht="15" hidden="false" customHeight="true" outlineLevel="0" collapsed="false"/>
    <row r="440" customFormat="false" ht="15" hidden="false" customHeight="true" outlineLevel="0" collapsed="false"/>
    <row r="441" customFormat="false" ht="15" hidden="false" customHeight="true" outlineLevel="0" collapsed="false"/>
    <row r="442" customFormat="false" ht="15" hidden="false" customHeight="true" outlineLevel="0" collapsed="false"/>
    <row r="443" customFormat="false" ht="15" hidden="false" customHeight="true" outlineLevel="0" collapsed="false"/>
    <row r="444" customFormat="false" ht="15" hidden="false" customHeight="true" outlineLevel="0" collapsed="false"/>
    <row r="445" customFormat="false" ht="15" hidden="false" customHeight="true" outlineLevel="0" collapsed="false"/>
    <row r="446" customFormat="false" ht="15" hidden="false" customHeight="true" outlineLevel="0" collapsed="false"/>
    <row r="447" customFormat="false" ht="15" hidden="false" customHeight="true" outlineLevel="0" collapsed="false"/>
    <row r="448" customFormat="false" ht="15" hidden="false" customHeight="true" outlineLevel="0" collapsed="false"/>
    <row r="449" customFormat="false" ht="15" hidden="false" customHeight="true" outlineLevel="0" collapsed="false"/>
    <row r="450" customFormat="false" ht="15" hidden="false" customHeight="true" outlineLevel="0" collapsed="false"/>
    <row r="451" customFormat="false" ht="15" hidden="false" customHeight="true" outlineLevel="0" collapsed="false"/>
    <row r="452" customFormat="false" ht="15" hidden="false" customHeight="true" outlineLevel="0" collapsed="false"/>
    <row r="453" customFormat="false" ht="15" hidden="false" customHeight="true" outlineLevel="0" collapsed="false"/>
    <row r="454" customFormat="false" ht="15" hidden="false" customHeight="true" outlineLevel="0" collapsed="false"/>
    <row r="455" customFormat="false" ht="15" hidden="false" customHeight="true" outlineLevel="0" collapsed="false"/>
    <row r="456" customFormat="false" ht="15" hidden="false" customHeight="true" outlineLevel="0" collapsed="false"/>
    <row r="457" customFormat="false" ht="15" hidden="false" customHeight="true" outlineLevel="0" collapsed="false"/>
    <row r="458" customFormat="false" ht="15" hidden="false" customHeight="true" outlineLevel="0" collapsed="false"/>
    <row r="459" customFormat="false" ht="15" hidden="false" customHeight="true" outlineLevel="0" collapsed="false"/>
    <row r="460" customFormat="false" ht="15" hidden="false" customHeight="true" outlineLevel="0" collapsed="false"/>
    <row r="461" customFormat="false" ht="15" hidden="false" customHeight="true" outlineLevel="0" collapsed="false"/>
    <row r="462" customFormat="false" ht="15" hidden="false" customHeight="true" outlineLevel="0" collapsed="false"/>
    <row r="463" customFormat="false" ht="15" hidden="false" customHeight="true" outlineLevel="0" collapsed="false"/>
    <row r="464" customFormat="false" ht="15" hidden="false" customHeight="true" outlineLevel="0" collapsed="false"/>
    <row r="465" customFormat="false" ht="15" hidden="false" customHeight="true" outlineLevel="0" collapsed="false"/>
    <row r="466" customFormat="false" ht="15" hidden="false" customHeight="true" outlineLevel="0" collapsed="false"/>
    <row r="467" customFormat="false" ht="15" hidden="false" customHeight="true" outlineLevel="0" collapsed="false"/>
    <row r="468" customFormat="false" ht="15" hidden="false" customHeight="true" outlineLevel="0" collapsed="false"/>
    <row r="469" customFormat="false" ht="15" hidden="false" customHeight="true" outlineLevel="0" collapsed="false"/>
    <row r="470" customFormat="false" ht="15" hidden="false" customHeight="true" outlineLevel="0" collapsed="false"/>
    <row r="471" customFormat="false" ht="15" hidden="false" customHeight="true" outlineLevel="0" collapsed="false"/>
    <row r="472" customFormat="false" ht="15" hidden="false" customHeight="true" outlineLevel="0" collapsed="false"/>
    <row r="473" customFormat="false" ht="15" hidden="false" customHeight="true" outlineLevel="0" collapsed="false"/>
    <row r="474" customFormat="false" ht="15" hidden="false" customHeight="true" outlineLevel="0" collapsed="false"/>
    <row r="475" customFormat="false" ht="15" hidden="false" customHeight="true" outlineLevel="0" collapsed="false"/>
    <row r="476" customFormat="false" ht="15" hidden="false" customHeight="true" outlineLevel="0" collapsed="false"/>
    <row r="477" customFormat="false" ht="15" hidden="false" customHeight="true" outlineLevel="0" collapsed="false"/>
    <row r="478" customFormat="false" ht="15" hidden="false" customHeight="true" outlineLevel="0" collapsed="false"/>
    <row r="479" customFormat="false" ht="15" hidden="false" customHeight="true" outlineLevel="0" collapsed="false"/>
    <row r="480" customFormat="false" ht="15" hidden="false" customHeight="true" outlineLevel="0" collapsed="false"/>
    <row r="481" customFormat="false" ht="15" hidden="false" customHeight="true" outlineLevel="0" collapsed="false"/>
    <row r="482" customFormat="false" ht="15" hidden="false" customHeight="true" outlineLevel="0" collapsed="false"/>
    <row r="483" customFormat="false" ht="15" hidden="false" customHeight="true" outlineLevel="0" collapsed="false"/>
    <row r="484" customFormat="false" ht="15" hidden="false" customHeight="true" outlineLevel="0" collapsed="false"/>
    <row r="485" customFormat="false" ht="15" hidden="false" customHeight="true" outlineLevel="0" collapsed="false"/>
    <row r="486" customFormat="false" ht="15" hidden="false" customHeight="true" outlineLevel="0" collapsed="false"/>
    <row r="487" customFormat="false" ht="15" hidden="false" customHeight="true" outlineLevel="0" collapsed="false"/>
    <row r="488" customFormat="false" ht="15" hidden="false" customHeight="true" outlineLevel="0" collapsed="false"/>
    <row r="489" customFormat="false" ht="15" hidden="false" customHeight="true" outlineLevel="0" collapsed="false"/>
    <row r="490" customFormat="false" ht="15" hidden="false" customHeight="true" outlineLevel="0" collapsed="false"/>
    <row r="491" customFormat="false" ht="15" hidden="false" customHeight="true" outlineLevel="0" collapsed="false"/>
    <row r="492" customFormat="false" ht="15" hidden="false" customHeight="true" outlineLevel="0" collapsed="false"/>
    <row r="493" customFormat="false" ht="15" hidden="false" customHeight="true" outlineLevel="0" collapsed="false"/>
    <row r="494" customFormat="false" ht="15" hidden="false" customHeight="true" outlineLevel="0" collapsed="false"/>
    <row r="495" customFormat="false" ht="15" hidden="false" customHeight="true" outlineLevel="0" collapsed="false"/>
    <row r="496" customFormat="false" ht="15" hidden="false" customHeight="true" outlineLevel="0" collapsed="false"/>
    <row r="497" customFormat="false" ht="15" hidden="false" customHeight="true" outlineLevel="0" collapsed="false"/>
    <row r="498" customFormat="false" ht="15" hidden="false" customHeight="true" outlineLevel="0" collapsed="false"/>
    <row r="499" customFormat="false" ht="15" hidden="false" customHeight="true" outlineLevel="0" collapsed="false"/>
    <row r="500" customFormat="false" ht="15" hidden="false" customHeight="true" outlineLevel="0" collapsed="false"/>
    <row r="501" customFormat="false" ht="15" hidden="false" customHeight="true" outlineLevel="0" collapsed="false"/>
    <row r="502" customFormat="false" ht="15" hidden="false" customHeight="true" outlineLevel="0" collapsed="false"/>
    <row r="503" customFormat="false" ht="15" hidden="false" customHeight="true" outlineLevel="0" collapsed="false"/>
    <row r="504" customFormat="false" ht="15" hidden="false" customHeight="true" outlineLevel="0" collapsed="false"/>
    <row r="505" customFormat="false" ht="15" hidden="false" customHeight="true" outlineLevel="0" collapsed="false"/>
    <row r="506" customFormat="false" ht="15" hidden="false" customHeight="true" outlineLevel="0" collapsed="false"/>
    <row r="507" customFormat="false" ht="15" hidden="false" customHeight="true" outlineLevel="0" collapsed="false"/>
    <row r="508" customFormat="false" ht="15" hidden="false" customHeight="true" outlineLevel="0" collapsed="false"/>
    <row r="509" customFormat="false" ht="15" hidden="false" customHeight="true" outlineLevel="0" collapsed="false"/>
    <row r="510" customFormat="false" ht="15" hidden="false" customHeight="true" outlineLevel="0" collapsed="false"/>
    <row r="511" customFormat="false" ht="15" hidden="false" customHeight="true" outlineLevel="0" collapsed="false"/>
    <row r="512" customFormat="false" ht="15" hidden="false" customHeight="true" outlineLevel="0" collapsed="false"/>
    <row r="513" customFormat="false" ht="15" hidden="false" customHeight="true" outlineLevel="0" collapsed="false"/>
    <row r="514" customFormat="false" ht="15" hidden="false" customHeight="true" outlineLevel="0" collapsed="false"/>
    <row r="515" customFormat="false" ht="15" hidden="false" customHeight="true" outlineLevel="0" collapsed="false"/>
    <row r="516" customFormat="false" ht="15" hidden="false" customHeight="true" outlineLevel="0" collapsed="false"/>
    <row r="517" customFormat="false" ht="15" hidden="false" customHeight="true" outlineLevel="0" collapsed="false"/>
    <row r="518" customFormat="false" ht="15" hidden="false" customHeight="true" outlineLevel="0" collapsed="false"/>
    <row r="519" customFormat="false" ht="15" hidden="false" customHeight="true" outlineLevel="0" collapsed="false"/>
    <row r="520" customFormat="false" ht="15" hidden="false" customHeight="true" outlineLevel="0" collapsed="false"/>
    <row r="521" customFormat="false" ht="15" hidden="false" customHeight="true" outlineLevel="0" collapsed="false"/>
    <row r="522" customFormat="false" ht="15" hidden="false" customHeight="true" outlineLevel="0" collapsed="false"/>
    <row r="523" customFormat="false" ht="15" hidden="false" customHeight="true" outlineLevel="0" collapsed="false"/>
    <row r="524" customFormat="false" ht="15" hidden="false" customHeight="true" outlineLevel="0" collapsed="false"/>
    <row r="525" customFormat="false" ht="15" hidden="false" customHeight="true" outlineLevel="0" collapsed="false"/>
    <row r="526" customFormat="false" ht="15" hidden="false" customHeight="true" outlineLevel="0" collapsed="false"/>
    <row r="527" customFormat="false" ht="15" hidden="false" customHeight="true" outlineLevel="0" collapsed="false"/>
    <row r="528" customFormat="false" ht="15" hidden="false" customHeight="true" outlineLevel="0" collapsed="false"/>
    <row r="529" customFormat="false" ht="15" hidden="false" customHeight="true" outlineLevel="0" collapsed="false"/>
    <row r="530" customFormat="false" ht="15" hidden="false" customHeight="true" outlineLevel="0" collapsed="false"/>
    <row r="531" customFormat="false" ht="15" hidden="false" customHeight="true" outlineLevel="0" collapsed="false"/>
    <row r="532" customFormat="false" ht="15" hidden="false" customHeight="true" outlineLevel="0" collapsed="false"/>
    <row r="533" customFormat="false" ht="15" hidden="false" customHeight="true" outlineLevel="0" collapsed="false"/>
    <row r="534" customFormat="false" ht="15" hidden="false" customHeight="true" outlineLevel="0" collapsed="false"/>
    <row r="535" customFormat="false" ht="15" hidden="false" customHeight="true" outlineLevel="0" collapsed="false"/>
    <row r="536" customFormat="false" ht="15" hidden="false" customHeight="true" outlineLevel="0" collapsed="false"/>
    <row r="537" customFormat="false" ht="15" hidden="false" customHeight="true" outlineLevel="0" collapsed="false"/>
    <row r="538" customFormat="false" ht="15" hidden="false" customHeight="true" outlineLevel="0" collapsed="false"/>
    <row r="539" customFormat="false" ht="15" hidden="false" customHeight="true" outlineLevel="0" collapsed="false"/>
    <row r="540" customFormat="false" ht="15" hidden="false" customHeight="true" outlineLevel="0" collapsed="false"/>
    <row r="541" customFormat="false" ht="15" hidden="false" customHeight="true" outlineLevel="0" collapsed="false"/>
    <row r="542" customFormat="false" ht="15" hidden="false" customHeight="true" outlineLevel="0" collapsed="false"/>
    <row r="543" customFormat="false" ht="15" hidden="false" customHeight="true" outlineLevel="0" collapsed="false"/>
    <row r="544" customFormat="false" ht="15" hidden="false" customHeight="true" outlineLevel="0" collapsed="false"/>
    <row r="545" customFormat="false" ht="15" hidden="false" customHeight="true" outlineLevel="0" collapsed="false"/>
    <row r="546" customFormat="false" ht="15" hidden="false" customHeight="true" outlineLevel="0" collapsed="false"/>
    <row r="547" customFormat="false" ht="15" hidden="false" customHeight="true" outlineLevel="0" collapsed="false"/>
    <row r="548" customFormat="false" ht="15" hidden="false" customHeight="true" outlineLevel="0" collapsed="false"/>
    <row r="549" customFormat="false" ht="15" hidden="false" customHeight="true" outlineLevel="0" collapsed="false"/>
    <row r="550" customFormat="false" ht="15" hidden="false" customHeight="true" outlineLevel="0" collapsed="false"/>
    <row r="551" customFormat="false" ht="15" hidden="false" customHeight="true" outlineLevel="0" collapsed="false"/>
    <row r="552" customFormat="false" ht="15" hidden="false" customHeight="true" outlineLevel="0" collapsed="false"/>
    <row r="553" customFormat="false" ht="15" hidden="false" customHeight="true" outlineLevel="0" collapsed="false"/>
    <row r="554" customFormat="false" ht="15" hidden="false" customHeight="true" outlineLevel="0" collapsed="false"/>
    <row r="555" customFormat="false" ht="15" hidden="false" customHeight="true" outlineLevel="0" collapsed="false"/>
    <row r="556" customFormat="false" ht="15" hidden="false" customHeight="true" outlineLevel="0" collapsed="false"/>
    <row r="557" customFormat="false" ht="15" hidden="false" customHeight="true" outlineLevel="0" collapsed="false"/>
    <row r="558" customFormat="false" ht="15" hidden="false" customHeight="true" outlineLevel="0" collapsed="false"/>
    <row r="559" customFormat="false" ht="15" hidden="false" customHeight="true" outlineLevel="0" collapsed="false"/>
    <row r="560" customFormat="false" ht="15" hidden="false" customHeight="true" outlineLevel="0" collapsed="false"/>
    <row r="561" customFormat="false" ht="15" hidden="false" customHeight="true" outlineLevel="0" collapsed="false"/>
    <row r="562" customFormat="false" ht="15" hidden="false" customHeight="true" outlineLevel="0" collapsed="false"/>
    <row r="563" customFormat="false" ht="15" hidden="false" customHeight="true" outlineLevel="0" collapsed="false"/>
    <row r="564" customFormat="false" ht="15" hidden="false" customHeight="true" outlineLevel="0" collapsed="false"/>
    <row r="565" customFormat="false" ht="15" hidden="false" customHeight="true" outlineLevel="0" collapsed="false"/>
    <row r="566" customFormat="false" ht="15" hidden="false" customHeight="true" outlineLevel="0" collapsed="false"/>
    <row r="567" customFormat="false" ht="15" hidden="false" customHeight="true" outlineLevel="0" collapsed="false"/>
    <row r="568" customFormat="false" ht="15" hidden="false" customHeight="true" outlineLevel="0" collapsed="false"/>
    <row r="569" customFormat="false" ht="15" hidden="false" customHeight="true" outlineLevel="0" collapsed="false"/>
    <row r="570" customFormat="false" ht="15" hidden="false" customHeight="true" outlineLevel="0" collapsed="false"/>
    <row r="571" customFormat="false" ht="15" hidden="false" customHeight="true" outlineLevel="0" collapsed="false"/>
    <row r="572" customFormat="false" ht="15" hidden="false" customHeight="true" outlineLevel="0" collapsed="false"/>
    <row r="573" customFormat="false" ht="15" hidden="false" customHeight="true" outlineLevel="0" collapsed="false"/>
    <row r="574" customFormat="false" ht="15" hidden="false" customHeight="true" outlineLevel="0" collapsed="false"/>
    <row r="575" customFormat="false" ht="15" hidden="false" customHeight="true" outlineLevel="0" collapsed="false"/>
    <row r="576" customFormat="false" ht="15" hidden="false" customHeight="true" outlineLevel="0" collapsed="false"/>
    <row r="577" customFormat="false" ht="15" hidden="false" customHeight="true" outlineLevel="0" collapsed="false"/>
    <row r="578" customFormat="false" ht="15" hidden="false" customHeight="true" outlineLevel="0" collapsed="false"/>
    <row r="579" customFormat="false" ht="15" hidden="false" customHeight="true" outlineLevel="0" collapsed="false"/>
    <row r="580" customFormat="false" ht="15" hidden="false" customHeight="true" outlineLevel="0" collapsed="false"/>
    <row r="581" customFormat="false" ht="15" hidden="false" customHeight="true" outlineLevel="0" collapsed="false"/>
    <row r="582" customFormat="false" ht="15" hidden="false" customHeight="true" outlineLevel="0" collapsed="false"/>
    <row r="583" customFormat="false" ht="15" hidden="false" customHeight="true" outlineLevel="0" collapsed="false"/>
    <row r="584" customFormat="false" ht="15" hidden="false" customHeight="true" outlineLevel="0" collapsed="false"/>
    <row r="585" customFormat="false" ht="15" hidden="false" customHeight="true" outlineLevel="0" collapsed="false"/>
    <row r="586" customFormat="false" ht="15" hidden="false" customHeight="true" outlineLevel="0" collapsed="false"/>
    <row r="587" customFormat="false" ht="15" hidden="false" customHeight="true" outlineLevel="0" collapsed="false"/>
    <row r="588" customFormat="false" ht="15" hidden="false" customHeight="true" outlineLevel="0" collapsed="false"/>
    <row r="589" customFormat="false" ht="15" hidden="false" customHeight="true" outlineLevel="0" collapsed="false"/>
    <row r="590" customFormat="false" ht="15" hidden="false" customHeight="true" outlineLevel="0" collapsed="false"/>
    <row r="591" customFormat="false" ht="15" hidden="false" customHeight="true" outlineLevel="0" collapsed="false"/>
    <row r="592" customFormat="false" ht="15" hidden="false" customHeight="true" outlineLevel="0" collapsed="false"/>
    <row r="593" customFormat="false" ht="15" hidden="false" customHeight="true" outlineLevel="0" collapsed="false"/>
    <row r="594" customFormat="false" ht="15" hidden="false" customHeight="true" outlineLevel="0" collapsed="false"/>
    <row r="595" customFormat="false" ht="15" hidden="false" customHeight="true" outlineLevel="0" collapsed="false"/>
    <row r="596" customFormat="false" ht="15" hidden="false" customHeight="true" outlineLevel="0" collapsed="false"/>
    <row r="597" customFormat="false" ht="15" hidden="false" customHeight="true" outlineLevel="0" collapsed="false"/>
    <row r="598" customFormat="false" ht="15" hidden="false" customHeight="true" outlineLevel="0" collapsed="false"/>
    <row r="599" customFormat="false" ht="15" hidden="false" customHeight="true" outlineLevel="0" collapsed="false"/>
    <row r="600" customFormat="false" ht="15" hidden="false" customHeight="true" outlineLevel="0" collapsed="false"/>
    <row r="601" customFormat="false" ht="15" hidden="false" customHeight="true" outlineLevel="0" collapsed="false"/>
    <row r="602" customFormat="false" ht="15" hidden="false" customHeight="true" outlineLevel="0" collapsed="false"/>
    <row r="603" customFormat="false" ht="15" hidden="false" customHeight="true" outlineLevel="0" collapsed="false"/>
    <row r="604" customFormat="false" ht="15" hidden="false" customHeight="true" outlineLevel="0" collapsed="false"/>
    <row r="605" customFormat="false" ht="15" hidden="false" customHeight="true" outlineLevel="0" collapsed="false"/>
    <row r="606" customFormat="false" ht="15" hidden="false" customHeight="true" outlineLevel="0" collapsed="false"/>
    <row r="607" customFormat="false" ht="15" hidden="false" customHeight="true" outlineLevel="0" collapsed="false"/>
    <row r="608" customFormat="false" ht="15" hidden="false" customHeight="true" outlineLevel="0" collapsed="false"/>
    <row r="609" customFormat="false" ht="15" hidden="false" customHeight="true" outlineLevel="0" collapsed="false"/>
    <row r="610" customFormat="false" ht="15" hidden="false" customHeight="true" outlineLevel="0" collapsed="false"/>
    <row r="611" customFormat="false" ht="15" hidden="false" customHeight="true" outlineLevel="0" collapsed="false"/>
    <row r="612" customFormat="false" ht="15" hidden="false" customHeight="true" outlineLevel="0" collapsed="false"/>
    <row r="613" customFormat="false" ht="15" hidden="false" customHeight="true" outlineLevel="0" collapsed="false"/>
    <row r="614" customFormat="false" ht="15" hidden="false" customHeight="true" outlineLevel="0" collapsed="false"/>
    <row r="615" customFormat="false" ht="15" hidden="false" customHeight="true" outlineLevel="0" collapsed="false"/>
    <row r="616" customFormat="false" ht="15" hidden="false" customHeight="true" outlineLevel="0" collapsed="false"/>
    <row r="617" customFormat="false" ht="15" hidden="false" customHeight="true" outlineLevel="0" collapsed="false"/>
    <row r="618" customFormat="false" ht="15" hidden="false" customHeight="true" outlineLevel="0" collapsed="false"/>
    <row r="619" customFormat="false" ht="15" hidden="false" customHeight="true" outlineLevel="0" collapsed="false"/>
    <row r="620" customFormat="false" ht="15" hidden="false" customHeight="true" outlineLevel="0" collapsed="false"/>
    <row r="621" customFormat="false" ht="15" hidden="false" customHeight="true" outlineLevel="0" collapsed="false"/>
    <row r="622" customFormat="false" ht="15" hidden="false" customHeight="true" outlineLevel="0" collapsed="false"/>
    <row r="623" customFormat="false" ht="15" hidden="false" customHeight="true" outlineLevel="0" collapsed="false"/>
    <row r="624" customFormat="false" ht="15" hidden="false" customHeight="true" outlineLevel="0" collapsed="false"/>
    <row r="625" customFormat="false" ht="15" hidden="false" customHeight="true" outlineLevel="0" collapsed="false"/>
    <row r="626" customFormat="false" ht="15" hidden="false" customHeight="true" outlineLevel="0" collapsed="false"/>
    <row r="627" customFormat="false" ht="15" hidden="false" customHeight="true" outlineLevel="0" collapsed="false"/>
    <row r="628" customFormat="false" ht="15" hidden="false" customHeight="true" outlineLevel="0" collapsed="false"/>
    <row r="629" customFormat="false" ht="15" hidden="false" customHeight="true" outlineLevel="0" collapsed="false"/>
    <row r="630" customFormat="false" ht="15" hidden="false" customHeight="true" outlineLevel="0" collapsed="false"/>
    <row r="631" customFormat="false" ht="15" hidden="false" customHeight="true" outlineLevel="0" collapsed="false"/>
    <row r="632" customFormat="false" ht="15" hidden="false" customHeight="true" outlineLevel="0" collapsed="false"/>
    <row r="633" customFormat="false" ht="15" hidden="false" customHeight="true" outlineLevel="0" collapsed="false"/>
    <row r="634" customFormat="false" ht="15" hidden="false" customHeight="true" outlineLevel="0" collapsed="false"/>
    <row r="635" customFormat="false" ht="15" hidden="false" customHeight="true" outlineLevel="0" collapsed="false"/>
    <row r="636" customFormat="false" ht="15" hidden="false" customHeight="true" outlineLevel="0" collapsed="false"/>
    <row r="637" customFormat="false" ht="15" hidden="false" customHeight="true" outlineLevel="0" collapsed="false"/>
    <row r="638" customFormat="false" ht="15" hidden="false" customHeight="true" outlineLevel="0" collapsed="false"/>
    <row r="639" customFormat="false" ht="15" hidden="false" customHeight="true" outlineLevel="0" collapsed="false"/>
    <row r="640" customFormat="false" ht="15" hidden="false" customHeight="true" outlineLevel="0" collapsed="false"/>
    <row r="641" customFormat="false" ht="15" hidden="false" customHeight="true" outlineLevel="0" collapsed="false"/>
    <row r="642" customFormat="false" ht="15" hidden="false" customHeight="true" outlineLevel="0" collapsed="false"/>
    <row r="643" customFormat="false" ht="15" hidden="false" customHeight="true" outlineLevel="0" collapsed="false"/>
    <row r="644" customFormat="false" ht="15" hidden="false" customHeight="true" outlineLevel="0" collapsed="false"/>
    <row r="645" customFormat="false" ht="15" hidden="false" customHeight="true" outlineLevel="0" collapsed="false"/>
    <row r="646" customFormat="false" ht="15" hidden="false" customHeight="true" outlineLevel="0" collapsed="false"/>
    <row r="647" customFormat="false" ht="15" hidden="false" customHeight="true" outlineLevel="0" collapsed="false"/>
    <row r="648" customFormat="false" ht="15" hidden="false" customHeight="true" outlineLevel="0" collapsed="false"/>
    <row r="649" customFormat="false" ht="15" hidden="false" customHeight="true" outlineLevel="0" collapsed="false"/>
    <row r="650" customFormat="false" ht="15" hidden="false" customHeight="true" outlineLevel="0" collapsed="false"/>
    <row r="651" customFormat="false" ht="15" hidden="false" customHeight="true" outlineLevel="0" collapsed="false"/>
    <row r="652" customFormat="false" ht="15" hidden="false" customHeight="true" outlineLevel="0" collapsed="false"/>
    <row r="653" customFormat="false" ht="15" hidden="false" customHeight="true" outlineLevel="0" collapsed="false"/>
    <row r="654" customFormat="false" ht="15" hidden="false" customHeight="true" outlineLevel="0" collapsed="false"/>
    <row r="655" customFormat="false" ht="15" hidden="false" customHeight="true" outlineLevel="0" collapsed="false"/>
    <row r="656" customFormat="false" ht="15" hidden="false" customHeight="true" outlineLevel="0" collapsed="false"/>
    <row r="657" customFormat="false" ht="15" hidden="false" customHeight="true" outlineLevel="0" collapsed="false"/>
    <row r="658" customFormat="false" ht="15" hidden="false" customHeight="true" outlineLevel="0" collapsed="false"/>
    <row r="659" customFormat="false" ht="15" hidden="false" customHeight="true" outlineLevel="0" collapsed="false"/>
    <row r="660" customFormat="false" ht="15" hidden="false" customHeight="true" outlineLevel="0" collapsed="false"/>
    <row r="661" customFormat="false" ht="15" hidden="false" customHeight="true" outlineLevel="0" collapsed="false"/>
    <row r="662" customFormat="false" ht="15" hidden="false" customHeight="true" outlineLevel="0" collapsed="false"/>
    <row r="663" customFormat="false" ht="15" hidden="false" customHeight="true" outlineLevel="0" collapsed="false"/>
    <row r="664" customFormat="false" ht="15" hidden="false" customHeight="true" outlineLevel="0" collapsed="false"/>
    <row r="665" customFormat="false" ht="15" hidden="false" customHeight="true" outlineLevel="0" collapsed="false"/>
    <row r="666" customFormat="false" ht="15" hidden="false" customHeight="true" outlineLevel="0" collapsed="false"/>
    <row r="667" customFormat="false" ht="15" hidden="false" customHeight="true" outlineLevel="0" collapsed="false"/>
    <row r="668" customFormat="false" ht="15" hidden="false" customHeight="true" outlineLevel="0" collapsed="false"/>
    <row r="669" customFormat="false" ht="15" hidden="false" customHeight="true" outlineLevel="0" collapsed="false"/>
    <row r="670" customFormat="false" ht="15" hidden="false" customHeight="true" outlineLevel="0" collapsed="false"/>
    <row r="671" customFormat="false" ht="15" hidden="false" customHeight="true" outlineLevel="0" collapsed="false"/>
    <row r="672" customFormat="false" ht="15" hidden="false" customHeight="true" outlineLevel="0" collapsed="false"/>
    <row r="673" customFormat="false" ht="15" hidden="false" customHeight="true" outlineLevel="0" collapsed="false"/>
    <row r="674" customFormat="false" ht="15" hidden="false" customHeight="true" outlineLevel="0" collapsed="false"/>
    <row r="675" customFormat="false" ht="15" hidden="false" customHeight="true" outlineLevel="0" collapsed="false"/>
    <row r="676" customFormat="false" ht="15" hidden="false" customHeight="true" outlineLevel="0" collapsed="false"/>
    <row r="677" customFormat="false" ht="15" hidden="false" customHeight="true" outlineLevel="0" collapsed="false"/>
    <row r="678" customFormat="false" ht="15" hidden="false" customHeight="true" outlineLevel="0" collapsed="false"/>
    <row r="679" customFormat="false" ht="15" hidden="false" customHeight="true" outlineLevel="0" collapsed="false"/>
    <row r="680" customFormat="false" ht="15" hidden="false" customHeight="true" outlineLevel="0" collapsed="false"/>
    <row r="681" customFormat="false" ht="15" hidden="false" customHeight="true" outlineLevel="0" collapsed="false"/>
    <row r="682" customFormat="false" ht="15" hidden="false" customHeight="true" outlineLevel="0" collapsed="false"/>
    <row r="683" customFormat="false" ht="15" hidden="false" customHeight="true" outlineLevel="0" collapsed="false"/>
    <row r="684" customFormat="false" ht="15" hidden="false" customHeight="true" outlineLevel="0" collapsed="false"/>
    <row r="685" customFormat="false" ht="15" hidden="false" customHeight="true" outlineLevel="0" collapsed="false"/>
    <row r="686" customFormat="false" ht="15" hidden="false" customHeight="true" outlineLevel="0" collapsed="false"/>
    <row r="687" customFormat="false" ht="15" hidden="false" customHeight="true" outlineLevel="0" collapsed="false"/>
    <row r="688" customFormat="false" ht="15" hidden="false" customHeight="true" outlineLevel="0" collapsed="false"/>
    <row r="689" customFormat="false" ht="15" hidden="false" customHeight="true" outlineLevel="0" collapsed="false"/>
    <row r="690" customFormat="false" ht="15" hidden="false" customHeight="true" outlineLevel="0" collapsed="false"/>
    <row r="691" customFormat="false" ht="15" hidden="false" customHeight="true" outlineLevel="0" collapsed="false"/>
    <row r="692" customFormat="false" ht="15" hidden="false" customHeight="true" outlineLevel="0" collapsed="false"/>
    <row r="693" customFormat="false" ht="15" hidden="false" customHeight="true" outlineLevel="0" collapsed="false"/>
    <row r="694" customFormat="false" ht="15" hidden="false" customHeight="true" outlineLevel="0" collapsed="false"/>
    <row r="695" customFormat="false" ht="15" hidden="false" customHeight="true" outlineLevel="0" collapsed="false"/>
    <row r="696" customFormat="false" ht="15" hidden="false" customHeight="true" outlineLevel="0" collapsed="false"/>
    <row r="697" customFormat="false" ht="15" hidden="false" customHeight="true" outlineLevel="0" collapsed="false"/>
    <row r="698" customFormat="false" ht="15" hidden="false" customHeight="true" outlineLevel="0" collapsed="false"/>
    <row r="699" customFormat="false" ht="15" hidden="false" customHeight="true" outlineLevel="0" collapsed="false"/>
    <row r="700" customFormat="false" ht="15" hidden="false" customHeight="true" outlineLevel="0" collapsed="false"/>
    <row r="701" customFormat="false" ht="15" hidden="false" customHeight="true" outlineLevel="0" collapsed="false"/>
    <row r="702" customFormat="false" ht="15" hidden="false" customHeight="true" outlineLevel="0" collapsed="false"/>
    <row r="703" customFormat="false" ht="15" hidden="false" customHeight="true" outlineLevel="0" collapsed="false"/>
    <row r="704" customFormat="false" ht="15" hidden="false" customHeight="true" outlineLevel="0" collapsed="false"/>
    <row r="705" customFormat="false" ht="15" hidden="false" customHeight="true" outlineLevel="0" collapsed="false"/>
    <row r="706" customFormat="false" ht="15" hidden="false" customHeight="true" outlineLevel="0" collapsed="false"/>
    <row r="707" customFormat="false" ht="15" hidden="false" customHeight="true" outlineLevel="0" collapsed="false"/>
    <row r="708" customFormat="false" ht="15" hidden="false" customHeight="true" outlineLevel="0" collapsed="false"/>
    <row r="709" customFormat="false" ht="15" hidden="false" customHeight="true" outlineLevel="0" collapsed="false"/>
    <row r="710" customFormat="false" ht="15" hidden="false" customHeight="true" outlineLevel="0" collapsed="false"/>
    <row r="711" customFormat="false" ht="15" hidden="false" customHeight="true" outlineLevel="0" collapsed="false"/>
    <row r="712" customFormat="false" ht="15" hidden="false" customHeight="true" outlineLevel="0" collapsed="false"/>
    <row r="713" customFormat="false" ht="15" hidden="false" customHeight="true" outlineLevel="0" collapsed="false"/>
    <row r="714" customFormat="false" ht="15" hidden="false" customHeight="true" outlineLevel="0" collapsed="false"/>
    <row r="715" customFormat="false" ht="15" hidden="false" customHeight="true" outlineLevel="0" collapsed="false"/>
    <row r="716" customFormat="false" ht="15" hidden="false" customHeight="true" outlineLevel="0" collapsed="false"/>
    <row r="717" customFormat="false" ht="15" hidden="false" customHeight="true" outlineLevel="0" collapsed="false"/>
    <row r="718" customFormat="false" ht="15" hidden="false" customHeight="true" outlineLevel="0" collapsed="false"/>
    <row r="719" customFormat="false" ht="15" hidden="false" customHeight="true" outlineLevel="0" collapsed="false"/>
    <row r="720" customFormat="false" ht="15" hidden="false" customHeight="true" outlineLevel="0" collapsed="false"/>
    <row r="721" customFormat="false" ht="15" hidden="false" customHeight="true" outlineLevel="0" collapsed="false"/>
    <row r="722" customFormat="false" ht="15" hidden="false" customHeight="true" outlineLevel="0" collapsed="false"/>
    <row r="723" customFormat="false" ht="15" hidden="false" customHeight="true" outlineLevel="0" collapsed="false"/>
    <row r="724" customFormat="false" ht="15" hidden="false" customHeight="true" outlineLevel="0" collapsed="false"/>
    <row r="725" customFormat="false" ht="15" hidden="false" customHeight="true" outlineLevel="0" collapsed="false"/>
    <row r="726" customFormat="false" ht="15" hidden="false" customHeight="true" outlineLevel="0" collapsed="false"/>
    <row r="727" customFormat="false" ht="15" hidden="false" customHeight="true" outlineLevel="0" collapsed="false"/>
    <row r="728" customFormat="false" ht="15" hidden="false" customHeight="true" outlineLevel="0" collapsed="false"/>
    <row r="729" customFormat="false" ht="15" hidden="false" customHeight="true" outlineLevel="0" collapsed="false"/>
    <row r="730" customFormat="false" ht="15" hidden="false" customHeight="true" outlineLevel="0" collapsed="false"/>
    <row r="731" customFormat="false" ht="15" hidden="false" customHeight="true" outlineLevel="0" collapsed="false"/>
    <row r="732" customFormat="false" ht="15" hidden="false" customHeight="true" outlineLevel="0" collapsed="false"/>
    <row r="733" customFormat="false" ht="15" hidden="false" customHeight="true" outlineLevel="0" collapsed="false"/>
    <row r="734" customFormat="false" ht="15" hidden="false" customHeight="true" outlineLevel="0" collapsed="false"/>
    <row r="735" customFormat="false" ht="15" hidden="false" customHeight="true" outlineLevel="0" collapsed="false"/>
    <row r="736" customFormat="false" ht="15" hidden="false" customHeight="true" outlineLevel="0" collapsed="false"/>
    <row r="737" customFormat="false" ht="15" hidden="false" customHeight="true" outlineLevel="0" collapsed="false"/>
    <row r="738" customFormat="false" ht="15" hidden="false" customHeight="true" outlineLevel="0" collapsed="false"/>
    <row r="739" customFormat="false" ht="15" hidden="false" customHeight="true" outlineLevel="0" collapsed="false"/>
    <row r="740" customFormat="false" ht="15" hidden="false" customHeight="true" outlineLevel="0" collapsed="false"/>
    <row r="741" customFormat="false" ht="15" hidden="false" customHeight="true" outlineLevel="0" collapsed="false"/>
    <row r="742" customFormat="false" ht="15" hidden="false" customHeight="true" outlineLevel="0" collapsed="false"/>
    <row r="743" customFormat="false" ht="15" hidden="false" customHeight="true" outlineLevel="0" collapsed="false"/>
    <row r="744" customFormat="false" ht="15" hidden="false" customHeight="true" outlineLevel="0" collapsed="false"/>
    <row r="745" customFormat="false" ht="15" hidden="false" customHeight="true" outlineLevel="0" collapsed="false"/>
    <row r="746" customFormat="false" ht="15" hidden="false" customHeight="true" outlineLevel="0" collapsed="false"/>
    <row r="747" customFormat="false" ht="15" hidden="false" customHeight="true" outlineLevel="0" collapsed="false"/>
    <row r="748" customFormat="false" ht="15" hidden="false" customHeight="true" outlineLevel="0" collapsed="false"/>
    <row r="749" customFormat="false" ht="15" hidden="false" customHeight="true" outlineLevel="0" collapsed="false"/>
    <row r="750" customFormat="false" ht="15" hidden="false" customHeight="true" outlineLevel="0" collapsed="false"/>
    <row r="751" customFormat="false" ht="15" hidden="false" customHeight="true" outlineLevel="0" collapsed="false"/>
    <row r="752" customFormat="false" ht="15" hidden="false" customHeight="true" outlineLevel="0" collapsed="false"/>
    <row r="753" customFormat="false" ht="15" hidden="false" customHeight="true" outlineLevel="0" collapsed="false"/>
    <row r="754" customFormat="false" ht="15" hidden="false" customHeight="true" outlineLevel="0" collapsed="false"/>
    <row r="755" customFormat="false" ht="15" hidden="false" customHeight="true" outlineLevel="0" collapsed="false"/>
    <row r="756" customFormat="false" ht="15" hidden="false" customHeight="true" outlineLevel="0" collapsed="false"/>
    <row r="757" customFormat="false" ht="15" hidden="false" customHeight="true" outlineLevel="0" collapsed="false"/>
    <row r="758" customFormat="false" ht="15" hidden="false" customHeight="true" outlineLevel="0" collapsed="false"/>
    <row r="759" customFormat="false" ht="15" hidden="false" customHeight="true" outlineLevel="0" collapsed="false"/>
    <row r="760" customFormat="false" ht="15" hidden="false" customHeight="true" outlineLevel="0" collapsed="false"/>
    <row r="761" customFormat="false" ht="15" hidden="false" customHeight="true" outlineLevel="0" collapsed="false"/>
    <row r="762" customFormat="false" ht="15" hidden="false" customHeight="true" outlineLevel="0" collapsed="false"/>
    <row r="763" customFormat="false" ht="15" hidden="false" customHeight="true" outlineLevel="0" collapsed="false"/>
    <row r="764" customFormat="false" ht="15" hidden="false" customHeight="true" outlineLevel="0" collapsed="false"/>
    <row r="765" customFormat="false" ht="15" hidden="false" customHeight="true" outlineLevel="0" collapsed="false"/>
    <row r="766" customFormat="false" ht="15" hidden="false" customHeight="true" outlineLevel="0" collapsed="false"/>
    <row r="767" customFormat="false" ht="15" hidden="false" customHeight="true" outlineLevel="0" collapsed="false"/>
    <row r="768" customFormat="false" ht="15" hidden="false" customHeight="true" outlineLevel="0" collapsed="false"/>
    <row r="769" customFormat="false" ht="15" hidden="false" customHeight="true" outlineLevel="0" collapsed="false"/>
    <row r="770" customFormat="false" ht="15" hidden="false" customHeight="true" outlineLevel="0" collapsed="false"/>
    <row r="771" customFormat="false" ht="15" hidden="false" customHeight="true" outlineLevel="0" collapsed="false"/>
    <row r="772" customFormat="false" ht="15" hidden="false" customHeight="true" outlineLevel="0" collapsed="false"/>
    <row r="773" customFormat="false" ht="15" hidden="false" customHeight="true" outlineLevel="0" collapsed="false"/>
    <row r="774" customFormat="false" ht="15" hidden="false" customHeight="true" outlineLevel="0" collapsed="false"/>
    <row r="775" customFormat="false" ht="15" hidden="false" customHeight="true" outlineLevel="0" collapsed="false"/>
    <row r="776" customFormat="false" ht="15" hidden="false" customHeight="true" outlineLevel="0" collapsed="false"/>
    <row r="777" customFormat="false" ht="15" hidden="false" customHeight="true" outlineLevel="0" collapsed="false"/>
    <row r="778" customFormat="false" ht="15" hidden="false" customHeight="true" outlineLevel="0" collapsed="false"/>
    <row r="779" customFormat="false" ht="15" hidden="false" customHeight="true" outlineLevel="0" collapsed="false"/>
    <row r="780" customFormat="false" ht="15" hidden="false" customHeight="true" outlineLevel="0" collapsed="false"/>
    <row r="781" customFormat="false" ht="15" hidden="false" customHeight="true" outlineLevel="0" collapsed="false"/>
    <row r="782" customFormat="false" ht="15" hidden="false" customHeight="true" outlineLevel="0" collapsed="false"/>
    <row r="783" customFormat="false" ht="15" hidden="false" customHeight="true" outlineLevel="0" collapsed="false"/>
    <row r="784" customFormat="false" ht="15" hidden="false" customHeight="true" outlineLevel="0" collapsed="false"/>
    <row r="785" customFormat="false" ht="15" hidden="false" customHeight="true" outlineLevel="0" collapsed="false"/>
    <row r="786" customFormat="false" ht="15" hidden="false" customHeight="true" outlineLevel="0" collapsed="false"/>
    <row r="787" customFormat="false" ht="15" hidden="false" customHeight="true" outlineLevel="0" collapsed="false"/>
    <row r="788" customFormat="false" ht="15" hidden="false" customHeight="true" outlineLevel="0" collapsed="false"/>
    <row r="789" customFormat="false" ht="15" hidden="false" customHeight="true" outlineLevel="0" collapsed="false"/>
    <row r="790" customFormat="false" ht="15" hidden="false" customHeight="true" outlineLevel="0" collapsed="false"/>
    <row r="791" customFormat="false" ht="15" hidden="false" customHeight="true" outlineLevel="0" collapsed="false"/>
    <row r="792" customFormat="false" ht="15" hidden="false" customHeight="true" outlineLevel="0" collapsed="false"/>
    <row r="793" customFormat="false" ht="15" hidden="false" customHeight="true" outlineLevel="0" collapsed="false"/>
    <row r="794" customFormat="false" ht="15" hidden="false" customHeight="true" outlineLevel="0" collapsed="false"/>
    <row r="795" customFormat="false" ht="15" hidden="false" customHeight="true" outlineLevel="0" collapsed="false"/>
    <row r="796" customFormat="false" ht="15" hidden="false" customHeight="true" outlineLevel="0" collapsed="false"/>
    <row r="797" customFormat="false" ht="15" hidden="false" customHeight="true" outlineLevel="0" collapsed="false"/>
    <row r="798" customFormat="false" ht="15" hidden="false" customHeight="true" outlineLevel="0" collapsed="false"/>
    <row r="799" customFormat="false" ht="15" hidden="false" customHeight="true" outlineLevel="0" collapsed="false"/>
    <row r="800" customFormat="false" ht="15" hidden="false" customHeight="true" outlineLevel="0" collapsed="false"/>
    <row r="801" customFormat="false" ht="15" hidden="false" customHeight="true" outlineLevel="0" collapsed="false"/>
    <row r="802" customFormat="false" ht="15" hidden="false" customHeight="true" outlineLevel="0" collapsed="false"/>
    <row r="803" customFormat="false" ht="15" hidden="false" customHeight="true" outlineLevel="0" collapsed="false"/>
    <row r="804" customFormat="false" ht="15" hidden="false" customHeight="true" outlineLevel="0" collapsed="false"/>
    <row r="805" customFormat="false" ht="15" hidden="false" customHeight="true" outlineLevel="0" collapsed="false"/>
    <row r="806" customFormat="false" ht="15" hidden="false" customHeight="true" outlineLevel="0" collapsed="false"/>
    <row r="807" customFormat="false" ht="15" hidden="false" customHeight="true" outlineLevel="0" collapsed="false"/>
    <row r="808" customFormat="false" ht="15" hidden="false" customHeight="true" outlineLevel="0" collapsed="false"/>
    <row r="809" customFormat="false" ht="15" hidden="false" customHeight="true" outlineLevel="0" collapsed="false"/>
    <row r="810" customFormat="false" ht="15" hidden="false" customHeight="true" outlineLevel="0" collapsed="false"/>
    <row r="811" customFormat="false" ht="15" hidden="false" customHeight="true" outlineLevel="0" collapsed="false"/>
    <row r="812" customFormat="false" ht="15" hidden="false" customHeight="true" outlineLevel="0" collapsed="false"/>
    <row r="813" customFormat="false" ht="15" hidden="false" customHeight="true" outlineLevel="0" collapsed="false"/>
    <row r="814" customFormat="false" ht="15" hidden="false" customHeight="true" outlineLevel="0" collapsed="false"/>
    <row r="815" customFormat="false" ht="15" hidden="false" customHeight="true" outlineLevel="0" collapsed="false"/>
    <row r="816" customFormat="false" ht="15" hidden="false" customHeight="true" outlineLevel="0" collapsed="false"/>
    <row r="817" customFormat="false" ht="15" hidden="false" customHeight="true" outlineLevel="0" collapsed="false"/>
    <row r="818" customFormat="false" ht="15" hidden="false" customHeight="true" outlineLevel="0" collapsed="false"/>
    <row r="819" customFormat="false" ht="15" hidden="false" customHeight="true" outlineLevel="0" collapsed="false"/>
    <row r="820" customFormat="false" ht="15" hidden="false" customHeight="true" outlineLevel="0" collapsed="false"/>
    <row r="821" customFormat="false" ht="15" hidden="false" customHeight="true" outlineLevel="0" collapsed="false"/>
    <row r="822" customFormat="false" ht="15" hidden="false" customHeight="true" outlineLevel="0" collapsed="false"/>
    <row r="823" customFormat="false" ht="15" hidden="false" customHeight="true" outlineLevel="0" collapsed="false"/>
    <row r="824" customFormat="false" ht="15" hidden="false" customHeight="true" outlineLevel="0" collapsed="false"/>
    <row r="825" customFormat="false" ht="15" hidden="false" customHeight="true" outlineLevel="0" collapsed="false"/>
    <row r="826" customFormat="false" ht="15" hidden="false" customHeight="true" outlineLevel="0" collapsed="false"/>
    <row r="827" customFormat="false" ht="15" hidden="false" customHeight="true" outlineLevel="0" collapsed="false"/>
    <row r="828" customFormat="false" ht="15" hidden="false" customHeight="true" outlineLevel="0" collapsed="false"/>
    <row r="829" customFormat="false" ht="15" hidden="false" customHeight="true" outlineLevel="0" collapsed="false"/>
    <row r="830" customFormat="false" ht="15" hidden="false" customHeight="true" outlineLevel="0" collapsed="false"/>
    <row r="831" customFormat="false" ht="15" hidden="false" customHeight="true" outlineLevel="0" collapsed="false"/>
    <row r="832" customFormat="false" ht="15" hidden="false" customHeight="true" outlineLevel="0" collapsed="false"/>
    <row r="833" customFormat="false" ht="15" hidden="false" customHeight="true" outlineLevel="0" collapsed="false"/>
    <row r="834" customFormat="false" ht="15" hidden="false" customHeight="true" outlineLevel="0" collapsed="false"/>
    <row r="835" customFormat="false" ht="15" hidden="false" customHeight="true" outlineLevel="0" collapsed="false"/>
    <row r="836" customFormat="false" ht="15" hidden="false" customHeight="true" outlineLevel="0" collapsed="false"/>
    <row r="837" customFormat="false" ht="15" hidden="false" customHeight="true" outlineLevel="0" collapsed="false"/>
    <row r="838" customFormat="false" ht="15" hidden="false" customHeight="true" outlineLevel="0" collapsed="false"/>
    <row r="839" customFormat="false" ht="15" hidden="false" customHeight="true" outlineLevel="0" collapsed="false"/>
    <row r="840" customFormat="false" ht="15" hidden="false" customHeight="true" outlineLevel="0" collapsed="false"/>
    <row r="841" customFormat="false" ht="15" hidden="false" customHeight="true" outlineLevel="0" collapsed="false"/>
    <row r="842" customFormat="false" ht="15" hidden="false" customHeight="true" outlineLevel="0" collapsed="false"/>
    <row r="843" customFormat="false" ht="15" hidden="false" customHeight="true" outlineLevel="0" collapsed="false"/>
    <row r="844" customFormat="false" ht="15" hidden="false" customHeight="true" outlineLevel="0" collapsed="false"/>
    <row r="845" customFormat="false" ht="15" hidden="false" customHeight="true" outlineLevel="0" collapsed="false"/>
    <row r="846" customFormat="false" ht="15" hidden="false" customHeight="true" outlineLevel="0" collapsed="false"/>
    <row r="847" customFormat="false" ht="15" hidden="false" customHeight="true" outlineLevel="0" collapsed="false"/>
    <row r="848" customFormat="false" ht="15" hidden="false" customHeight="true" outlineLevel="0" collapsed="false"/>
    <row r="849" customFormat="false" ht="15" hidden="false" customHeight="true" outlineLevel="0" collapsed="false"/>
    <row r="850" customFormat="false" ht="15" hidden="false" customHeight="true" outlineLevel="0" collapsed="false"/>
    <row r="851" customFormat="false" ht="15" hidden="false" customHeight="true" outlineLevel="0" collapsed="false"/>
    <row r="852" customFormat="false" ht="15" hidden="false" customHeight="true" outlineLevel="0" collapsed="false"/>
    <row r="853" customFormat="false" ht="15" hidden="false" customHeight="true" outlineLevel="0" collapsed="false"/>
    <row r="854" customFormat="false" ht="15" hidden="false" customHeight="true" outlineLevel="0" collapsed="false"/>
    <row r="855" customFormat="false" ht="15" hidden="false" customHeight="true" outlineLevel="0" collapsed="false"/>
    <row r="856" customFormat="false" ht="15" hidden="false" customHeight="true" outlineLevel="0" collapsed="false"/>
    <row r="857" customFormat="false" ht="15" hidden="false" customHeight="true" outlineLevel="0" collapsed="false"/>
    <row r="858" customFormat="false" ht="15" hidden="false" customHeight="true" outlineLevel="0" collapsed="false"/>
    <row r="859" customFormat="false" ht="15" hidden="false" customHeight="true" outlineLevel="0" collapsed="false"/>
    <row r="860" customFormat="false" ht="15" hidden="false" customHeight="true" outlineLevel="0" collapsed="false"/>
    <row r="861" customFormat="false" ht="15" hidden="false" customHeight="true" outlineLevel="0" collapsed="false"/>
    <row r="862" customFormat="false" ht="15" hidden="false" customHeight="true" outlineLevel="0" collapsed="false"/>
    <row r="863" customFormat="false" ht="15" hidden="false" customHeight="true" outlineLevel="0" collapsed="false"/>
    <row r="864" customFormat="false" ht="15" hidden="false" customHeight="true" outlineLevel="0" collapsed="false"/>
    <row r="865" customFormat="false" ht="15" hidden="false" customHeight="true" outlineLevel="0" collapsed="false"/>
    <row r="866" customFormat="false" ht="15" hidden="false" customHeight="true" outlineLevel="0" collapsed="false"/>
    <row r="867" customFormat="false" ht="15" hidden="false" customHeight="true" outlineLevel="0" collapsed="false"/>
    <row r="868" customFormat="false" ht="15" hidden="false" customHeight="true" outlineLevel="0" collapsed="false"/>
    <row r="869" customFormat="false" ht="15" hidden="false" customHeight="true" outlineLevel="0" collapsed="false"/>
    <row r="870" customFormat="false" ht="15" hidden="false" customHeight="true" outlineLevel="0" collapsed="false"/>
    <row r="871" customFormat="false" ht="15" hidden="false" customHeight="true" outlineLevel="0" collapsed="false"/>
    <row r="872" customFormat="false" ht="15" hidden="false" customHeight="true" outlineLevel="0" collapsed="false"/>
    <row r="873" customFormat="false" ht="15" hidden="false" customHeight="true" outlineLevel="0" collapsed="false"/>
    <row r="874" customFormat="false" ht="15" hidden="false" customHeight="true" outlineLevel="0" collapsed="false"/>
    <row r="875" customFormat="false" ht="15" hidden="false" customHeight="true" outlineLevel="0" collapsed="false"/>
    <row r="876" customFormat="false" ht="15" hidden="false" customHeight="true" outlineLevel="0" collapsed="false"/>
    <row r="877" customFormat="false" ht="15" hidden="false" customHeight="true" outlineLevel="0" collapsed="false"/>
    <row r="878" customFormat="false" ht="15" hidden="false" customHeight="true" outlineLevel="0" collapsed="false"/>
    <row r="879" customFormat="false" ht="15" hidden="false" customHeight="true" outlineLevel="0" collapsed="false"/>
    <row r="880" customFormat="false" ht="15" hidden="false" customHeight="true" outlineLevel="0" collapsed="false"/>
    <row r="881" customFormat="false" ht="15" hidden="false" customHeight="true" outlineLevel="0" collapsed="false"/>
    <row r="882" customFormat="false" ht="15" hidden="false" customHeight="true" outlineLevel="0" collapsed="false"/>
    <row r="883" customFormat="false" ht="15" hidden="false" customHeight="true" outlineLevel="0" collapsed="false"/>
    <row r="884" customFormat="false" ht="15" hidden="false" customHeight="true" outlineLevel="0" collapsed="false"/>
    <row r="885" customFormat="false" ht="15" hidden="false" customHeight="true" outlineLevel="0" collapsed="false"/>
    <row r="886" customFormat="false" ht="15" hidden="false" customHeight="true" outlineLevel="0" collapsed="false"/>
    <row r="887" customFormat="false" ht="15" hidden="false" customHeight="true" outlineLevel="0" collapsed="false"/>
    <row r="888" customFormat="false" ht="15" hidden="false" customHeight="true" outlineLevel="0" collapsed="false"/>
    <row r="889" customFormat="false" ht="15" hidden="false" customHeight="true" outlineLevel="0" collapsed="false"/>
    <row r="890" customFormat="false" ht="15" hidden="false" customHeight="true" outlineLevel="0" collapsed="false"/>
    <row r="891" customFormat="false" ht="15" hidden="false" customHeight="true" outlineLevel="0" collapsed="false"/>
    <row r="892" customFormat="false" ht="15" hidden="false" customHeight="true" outlineLevel="0" collapsed="false"/>
    <row r="893" customFormat="false" ht="15" hidden="false" customHeight="true" outlineLevel="0" collapsed="false"/>
    <row r="894" customFormat="false" ht="15" hidden="false" customHeight="true" outlineLevel="0" collapsed="false"/>
    <row r="895" customFormat="false" ht="15" hidden="false" customHeight="true" outlineLevel="0" collapsed="false"/>
    <row r="896" customFormat="false" ht="15" hidden="false" customHeight="true" outlineLevel="0" collapsed="false"/>
    <row r="897" customFormat="false" ht="15" hidden="false" customHeight="true" outlineLevel="0" collapsed="false"/>
    <row r="898" customFormat="false" ht="15" hidden="false" customHeight="true" outlineLevel="0" collapsed="false"/>
    <row r="899" customFormat="false" ht="15" hidden="false" customHeight="true" outlineLevel="0" collapsed="false"/>
    <row r="900" customFormat="false" ht="15" hidden="false" customHeight="true" outlineLevel="0" collapsed="false"/>
    <row r="901" customFormat="false" ht="15" hidden="false" customHeight="true" outlineLevel="0" collapsed="false"/>
    <row r="902" customFormat="false" ht="15" hidden="false" customHeight="true" outlineLevel="0" collapsed="false"/>
    <row r="903" customFormat="false" ht="15" hidden="false" customHeight="true" outlineLevel="0" collapsed="false"/>
    <row r="904" customFormat="false" ht="15" hidden="false" customHeight="true" outlineLevel="0" collapsed="false"/>
    <row r="905" customFormat="false" ht="15" hidden="false" customHeight="true" outlineLevel="0" collapsed="false"/>
    <row r="906" customFormat="false" ht="15" hidden="false" customHeight="true" outlineLevel="0" collapsed="false"/>
    <row r="907" customFormat="false" ht="15" hidden="false" customHeight="true" outlineLevel="0" collapsed="false"/>
    <row r="908" customFormat="false" ht="15" hidden="false" customHeight="true" outlineLevel="0" collapsed="false"/>
    <row r="909" customFormat="false" ht="15" hidden="false" customHeight="true" outlineLevel="0" collapsed="false"/>
    <row r="910" customFormat="false" ht="15" hidden="false" customHeight="true" outlineLevel="0" collapsed="false"/>
    <row r="911" customFormat="false" ht="15" hidden="false" customHeight="true" outlineLevel="0" collapsed="false"/>
    <row r="912" customFormat="false" ht="15" hidden="false" customHeight="true" outlineLevel="0" collapsed="false"/>
    <row r="913" customFormat="false" ht="15" hidden="false" customHeight="true" outlineLevel="0" collapsed="false"/>
    <row r="914" customFormat="false" ht="15" hidden="false" customHeight="true" outlineLevel="0" collapsed="false"/>
    <row r="915" customFormat="false" ht="15" hidden="false" customHeight="true" outlineLevel="0" collapsed="false"/>
    <row r="916" customFormat="false" ht="15" hidden="false" customHeight="true" outlineLevel="0" collapsed="false"/>
    <row r="917" customFormat="false" ht="15" hidden="false" customHeight="true" outlineLevel="0" collapsed="false"/>
    <row r="918" customFormat="false" ht="15" hidden="false" customHeight="true" outlineLevel="0" collapsed="false"/>
    <row r="919" customFormat="false" ht="15" hidden="false" customHeight="true" outlineLevel="0" collapsed="false"/>
    <row r="920" customFormat="false" ht="15" hidden="false" customHeight="true" outlineLevel="0" collapsed="false"/>
    <row r="921" customFormat="false" ht="15" hidden="false" customHeight="true" outlineLevel="0" collapsed="false"/>
    <row r="922" customFormat="false" ht="15" hidden="false" customHeight="true" outlineLevel="0" collapsed="false"/>
    <row r="923" customFormat="false" ht="15" hidden="false" customHeight="true" outlineLevel="0" collapsed="false"/>
    <row r="924" customFormat="false" ht="15" hidden="false" customHeight="true" outlineLevel="0" collapsed="false"/>
    <row r="925" customFormat="false" ht="15" hidden="false" customHeight="true" outlineLevel="0" collapsed="false"/>
    <row r="926" customFormat="false" ht="15" hidden="false" customHeight="true" outlineLevel="0" collapsed="false"/>
    <row r="927" customFormat="false" ht="15" hidden="false" customHeight="true" outlineLevel="0" collapsed="false"/>
    <row r="928" customFormat="false" ht="15" hidden="false" customHeight="true" outlineLevel="0" collapsed="false"/>
    <row r="929" customFormat="false" ht="15" hidden="false" customHeight="true" outlineLevel="0" collapsed="false"/>
    <row r="930" customFormat="false" ht="15" hidden="false" customHeight="true" outlineLevel="0" collapsed="false"/>
    <row r="931" customFormat="false" ht="15" hidden="false" customHeight="true" outlineLevel="0" collapsed="false"/>
    <row r="932" customFormat="false" ht="15" hidden="false" customHeight="true" outlineLevel="0" collapsed="false"/>
    <row r="933" customFormat="false" ht="15" hidden="false" customHeight="true" outlineLevel="0" collapsed="false"/>
    <row r="934" customFormat="false" ht="15" hidden="false" customHeight="true" outlineLevel="0" collapsed="false"/>
    <row r="935" customFormat="false" ht="15" hidden="false" customHeight="true" outlineLevel="0" collapsed="false"/>
    <row r="936" customFormat="false" ht="15" hidden="false" customHeight="true" outlineLevel="0" collapsed="false"/>
    <row r="937" customFormat="false" ht="15" hidden="false" customHeight="true" outlineLevel="0" collapsed="false"/>
    <row r="938" customFormat="false" ht="15" hidden="false" customHeight="true" outlineLevel="0" collapsed="false"/>
    <row r="939" customFormat="false" ht="15" hidden="false" customHeight="true" outlineLevel="0" collapsed="false"/>
    <row r="940" customFormat="false" ht="15" hidden="false" customHeight="true" outlineLevel="0" collapsed="false"/>
    <row r="941" customFormat="false" ht="15" hidden="false" customHeight="true" outlineLevel="0" collapsed="false"/>
    <row r="942" customFormat="false" ht="15" hidden="false" customHeight="true" outlineLevel="0" collapsed="false"/>
    <row r="943" customFormat="false" ht="15" hidden="false" customHeight="true" outlineLevel="0" collapsed="false"/>
    <row r="944" customFormat="false" ht="15" hidden="false" customHeight="true" outlineLevel="0" collapsed="false"/>
    <row r="945" customFormat="false" ht="15" hidden="false" customHeight="true" outlineLevel="0" collapsed="false"/>
    <row r="946" customFormat="false" ht="15" hidden="false" customHeight="true" outlineLevel="0" collapsed="false"/>
    <row r="947" customFormat="false" ht="15" hidden="false" customHeight="true" outlineLevel="0" collapsed="false"/>
    <row r="948" customFormat="false" ht="15" hidden="false" customHeight="true" outlineLevel="0" collapsed="false"/>
    <row r="949" customFormat="false" ht="15" hidden="false" customHeight="true" outlineLevel="0" collapsed="false"/>
    <row r="950" customFormat="false" ht="15" hidden="false" customHeight="true" outlineLevel="0" collapsed="false"/>
    <row r="951" customFormat="false" ht="15" hidden="false" customHeight="true" outlineLevel="0" collapsed="false"/>
    <row r="952" customFormat="false" ht="15" hidden="false" customHeight="true" outlineLevel="0" collapsed="false"/>
    <row r="953" customFormat="false" ht="15" hidden="false" customHeight="true" outlineLevel="0" collapsed="false"/>
    <row r="954" customFormat="false" ht="15" hidden="false" customHeight="true" outlineLevel="0" collapsed="false"/>
    <row r="955" customFormat="false" ht="15" hidden="false" customHeight="true" outlineLevel="0" collapsed="false"/>
    <row r="956" customFormat="false" ht="15" hidden="false" customHeight="true" outlineLevel="0" collapsed="false"/>
    <row r="957" customFormat="false" ht="15" hidden="false" customHeight="true" outlineLevel="0" collapsed="false"/>
    <row r="958" customFormat="false" ht="15" hidden="false" customHeight="true" outlineLevel="0" collapsed="false"/>
    <row r="959" customFormat="false" ht="15" hidden="false" customHeight="true" outlineLevel="0" collapsed="false"/>
    <row r="960" customFormat="false" ht="15" hidden="false" customHeight="true" outlineLevel="0" collapsed="false"/>
    <row r="961" customFormat="false" ht="15" hidden="false" customHeight="true" outlineLevel="0" collapsed="false"/>
    <row r="962" customFormat="false" ht="15" hidden="false" customHeight="true" outlineLevel="0" collapsed="false"/>
    <row r="963" customFormat="false" ht="15" hidden="false" customHeight="true" outlineLevel="0" collapsed="false"/>
    <row r="964" customFormat="false" ht="15" hidden="false" customHeight="true" outlineLevel="0" collapsed="false"/>
    <row r="965" customFormat="false" ht="15" hidden="false" customHeight="true" outlineLevel="0" collapsed="false"/>
    <row r="966" customFormat="false" ht="15" hidden="false" customHeight="true" outlineLevel="0" collapsed="false"/>
    <row r="967" customFormat="false" ht="15" hidden="false" customHeight="true" outlineLevel="0" collapsed="false"/>
    <row r="968" customFormat="false" ht="15" hidden="false" customHeight="true" outlineLevel="0" collapsed="false"/>
    <row r="969" customFormat="false" ht="15" hidden="false" customHeight="true" outlineLevel="0" collapsed="false"/>
    <row r="970" customFormat="false" ht="15" hidden="false" customHeight="true" outlineLevel="0" collapsed="false"/>
    <row r="971" customFormat="false" ht="15" hidden="false" customHeight="true" outlineLevel="0" collapsed="false"/>
    <row r="972" customFormat="false" ht="15" hidden="false" customHeight="true" outlineLevel="0" collapsed="false"/>
    <row r="973" customFormat="false" ht="15" hidden="false" customHeight="true" outlineLevel="0" collapsed="false"/>
    <row r="974" customFormat="false" ht="15" hidden="false" customHeight="true" outlineLevel="0" collapsed="false"/>
    <row r="975" customFormat="false" ht="15" hidden="false" customHeight="true" outlineLevel="0" collapsed="false"/>
    <row r="976" customFormat="false" ht="15" hidden="false" customHeight="true" outlineLevel="0" collapsed="false"/>
    <row r="977" customFormat="false" ht="15" hidden="false" customHeight="true" outlineLevel="0" collapsed="false"/>
    <row r="978" customFormat="false" ht="15" hidden="false" customHeight="true" outlineLevel="0" collapsed="false"/>
    <row r="979" customFormat="false" ht="15" hidden="false" customHeight="true" outlineLevel="0" collapsed="false"/>
    <row r="980" customFormat="false" ht="15" hidden="false" customHeight="true" outlineLevel="0" collapsed="false"/>
    <row r="981" customFormat="false" ht="15" hidden="false" customHeight="true" outlineLevel="0" collapsed="false"/>
    <row r="982" customFormat="false" ht="15" hidden="false" customHeight="true" outlineLevel="0" collapsed="false"/>
    <row r="983" customFormat="false" ht="15" hidden="false" customHeight="true" outlineLevel="0" collapsed="false"/>
    <row r="984" customFormat="false" ht="15" hidden="false" customHeight="true" outlineLevel="0" collapsed="false"/>
    <row r="985" customFormat="false" ht="15" hidden="false" customHeight="true" outlineLevel="0" collapsed="false"/>
    <row r="986" customFormat="false" ht="15" hidden="false" customHeight="true" outlineLevel="0" collapsed="false"/>
    <row r="987" customFormat="false" ht="15" hidden="false" customHeight="true" outlineLevel="0" collapsed="false"/>
    <row r="988" customFormat="false" ht="15" hidden="false" customHeight="true" outlineLevel="0" collapsed="false"/>
    <row r="989" customFormat="false" ht="15" hidden="false" customHeight="true" outlineLevel="0" collapsed="false"/>
    <row r="990" customFormat="false" ht="15" hidden="false" customHeight="true" outlineLevel="0" collapsed="false"/>
    <row r="991" customFormat="false" ht="15" hidden="false" customHeight="true" outlineLevel="0" collapsed="false"/>
    <row r="992" customFormat="false" ht="15" hidden="false" customHeight="true" outlineLevel="0" collapsed="false"/>
    <row r="993" customFormat="false" ht="15" hidden="false" customHeight="true" outlineLevel="0" collapsed="false"/>
    <row r="994" customFormat="false" ht="15" hidden="false" customHeight="true" outlineLevel="0" collapsed="false"/>
    <row r="995" customFormat="false" ht="15" hidden="false" customHeight="true" outlineLevel="0" collapsed="false"/>
    <row r="996" customFormat="false" ht="15" hidden="false" customHeight="true" outlineLevel="0" collapsed="false"/>
    <row r="997" customFormat="false" ht="15" hidden="false" customHeight="true" outlineLevel="0" collapsed="false"/>
    <row r="998" customFormat="false" ht="15" hidden="false" customHeight="true" outlineLevel="0" collapsed="false"/>
    <row r="999" customFormat="false" ht="15" hidden="false" customHeight="true" outlineLevel="0" collapsed="false"/>
    <row r="1000" customFormat="false" ht="15" hidden="false" customHeight="true" outlineLevel="0" collapsed="false"/>
    <row r="1001" customFormat="false" ht="15" hidden="false" customHeight="true" outlineLevel="0" collapsed="false"/>
    <row r="1002" customFormat="false" ht="15" hidden="false" customHeight="true" outlineLevel="0" collapsed="false"/>
    <row r="1003" customFormat="false" ht="15" hidden="false" customHeight="true" outlineLevel="0" collapsed="false"/>
    <row r="1004" customFormat="false" ht="15" hidden="false" customHeight="true" outlineLevel="0" collapsed="false"/>
    <row r="1005" customFormat="false" ht="15" hidden="false" customHeight="true" outlineLevel="0" collapsed="false"/>
    <row r="1006" customFormat="false" ht="15" hidden="false" customHeight="true" outlineLevel="0" collapsed="false"/>
    <row r="1007" customFormat="false" ht="15" hidden="false" customHeight="true" outlineLevel="0" collapsed="false"/>
    <row r="1008" customFormat="false" ht="15" hidden="false" customHeight="true" outlineLevel="0" collapsed="false"/>
    <row r="1009" customFormat="false" ht="15" hidden="false" customHeight="true" outlineLevel="0" collapsed="false"/>
    <row r="1010" customFormat="false" ht="15" hidden="false" customHeight="true" outlineLevel="0" collapsed="false"/>
    <row r="1011" customFormat="false" ht="15" hidden="false" customHeight="true" outlineLevel="0" collapsed="false"/>
    <row r="1012" customFormat="false" ht="15" hidden="false" customHeight="true" outlineLevel="0" collapsed="false"/>
    <row r="1013" customFormat="false" ht="15" hidden="false" customHeight="true" outlineLevel="0" collapsed="false"/>
    <row r="1014" customFormat="false" ht="15" hidden="false" customHeight="true" outlineLevel="0" collapsed="false"/>
    <row r="1015" customFormat="false" ht="15" hidden="false" customHeight="true" outlineLevel="0" collapsed="false"/>
    <row r="1016" customFormat="false" ht="15" hidden="false" customHeight="true" outlineLevel="0" collapsed="false"/>
    <row r="1017" customFormat="false" ht="15" hidden="false" customHeight="true" outlineLevel="0" collapsed="false"/>
    <row r="1018" customFormat="false" ht="15" hidden="false" customHeight="true" outlineLevel="0" collapsed="false"/>
    <row r="1019" customFormat="false" ht="15" hidden="false" customHeight="true" outlineLevel="0" collapsed="false"/>
    <row r="1020" customFormat="false" ht="15" hidden="false" customHeight="true" outlineLevel="0" collapsed="false"/>
    <row r="1021" customFormat="false" ht="15" hidden="false" customHeight="true" outlineLevel="0" collapsed="false"/>
    <row r="1022" customFormat="false" ht="15" hidden="false" customHeight="true" outlineLevel="0" collapsed="false"/>
    <row r="1023" customFormat="false" ht="15" hidden="false" customHeight="true" outlineLevel="0" collapsed="false"/>
  </sheetData>
  <mergeCells count="2">
    <mergeCell ref="A1:P1"/>
    <mergeCell ref="A2:P2"/>
  </mergeCells>
  <dataValidations count="3">
    <dataValidation allowBlank="true" errorStyle="stop" operator="between" showDropDown="false" showErrorMessage="false" showInputMessage="false" sqref="G5:H1023 J5:M1023" type="list">
      <formula1>"Y,N"</formula1>
      <formula2>0</formula2>
    </dataValidation>
    <dataValidation allowBlank="true" errorStyle="stop" operator="between" showDropDown="false" showErrorMessage="false" showInputMessage="false" sqref="C5:C1023" type="list">
      <formula1>"Email,Form"</formula1>
      <formula2>0</formula2>
    </dataValidation>
    <dataValidation allowBlank="true" errorStyle="stop" operator="between" showDropDown="false" showErrorMessage="false" showInputMessage="false" sqref="O5:O1023" type="list">
      <formula1>"Sent,Replied,Meeting booked,Dormant,Bounced"</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N12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1" width="4"/>
    <col collapsed="false" customWidth="true" hidden="false" outlineLevel="0" max="2" min="2" style="1" width="26"/>
    <col collapsed="false" customWidth="true" hidden="false" outlineLevel="0" max="3" min="3" style="1" width="18"/>
    <col collapsed="false" customWidth="true" hidden="false" outlineLevel="0" max="4" min="4" style="1" width="24"/>
    <col collapsed="false" customWidth="true" hidden="false" outlineLevel="0" max="5" min="5" style="1" width="10"/>
    <col collapsed="false" customWidth="true" hidden="false" outlineLevel="0" max="6" min="6" style="1" width="14"/>
    <col collapsed="false" customWidth="true" hidden="false" outlineLevel="0" max="8" min="7" style="1" width="12"/>
    <col collapsed="false" customWidth="true" hidden="false" outlineLevel="0" max="9" min="9" style="1" width="34"/>
    <col collapsed="false" customWidth="true" hidden="false" outlineLevel="0" max="12" min="10" style="1" width="12"/>
    <col collapsed="false" customWidth="true" hidden="false" outlineLevel="0" max="13" min="13" style="1" width="16"/>
    <col collapsed="false" customWidth="true" hidden="false" outlineLevel="0" max="14" min="14" style="1" width="34"/>
  </cols>
  <sheetData>
    <row r="1" customFormat="false" ht="15" hidden="false" customHeight="true" outlineLevel="0" collapsed="false">
      <c r="A1" s="19" t="s">
        <v>1723</v>
      </c>
      <c r="B1" s="19"/>
      <c r="C1" s="19"/>
      <c r="D1" s="19"/>
      <c r="E1" s="19"/>
      <c r="F1" s="19"/>
      <c r="G1" s="19"/>
      <c r="H1" s="19"/>
      <c r="I1" s="19"/>
      <c r="J1" s="19"/>
      <c r="K1" s="19"/>
      <c r="L1" s="19"/>
      <c r="M1" s="19"/>
      <c r="N1" s="19"/>
    </row>
    <row r="2" customFormat="false" ht="15" hidden="false" customHeight="true" outlineLevel="0" collapsed="false">
      <c r="A2" s="3" t="s">
        <v>1724</v>
      </c>
      <c r="B2" s="3"/>
      <c r="C2" s="3"/>
      <c r="D2" s="3"/>
      <c r="E2" s="3"/>
      <c r="F2" s="3"/>
      <c r="G2" s="3"/>
      <c r="H2" s="3"/>
      <c r="I2" s="3"/>
      <c r="J2" s="3"/>
      <c r="K2" s="3"/>
      <c r="L2" s="3"/>
      <c r="M2" s="3"/>
      <c r="N2" s="3"/>
    </row>
    <row r="3" customFormat="false" ht="34.5" hidden="false" customHeight="true" outlineLevel="0" collapsed="false">
      <c r="A3" s="20" t="s">
        <v>1725</v>
      </c>
      <c r="B3" s="20" t="s">
        <v>46</v>
      </c>
      <c r="C3" s="20" t="s">
        <v>1726</v>
      </c>
      <c r="D3" s="20" t="s">
        <v>1727</v>
      </c>
      <c r="E3" s="20" t="s">
        <v>1422</v>
      </c>
      <c r="F3" s="20" t="s">
        <v>1728</v>
      </c>
      <c r="G3" s="20" t="s">
        <v>1729</v>
      </c>
      <c r="H3" s="20" t="s">
        <v>1730</v>
      </c>
      <c r="I3" s="20" t="s">
        <v>1731</v>
      </c>
      <c r="J3" s="20" t="s">
        <v>1732</v>
      </c>
      <c r="K3" s="20" t="s">
        <v>1733</v>
      </c>
      <c r="L3" s="20" t="s">
        <v>1734</v>
      </c>
      <c r="M3" s="20" t="s">
        <v>60</v>
      </c>
      <c r="N3" s="20" t="s">
        <v>66</v>
      </c>
    </row>
    <row r="4" customFormat="false" ht="23.25" hidden="false" customHeight="true" outlineLevel="0" collapsed="false">
      <c r="A4" s="16" t="n">
        <v>0</v>
      </c>
      <c r="B4" s="16" t="s">
        <v>1735</v>
      </c>
      <c r="C4" s="16" t="s">
        <v>856</v>
      </c>
      <c r="D4" s="16" t="s">
        <v>857</v>
      </c>
      <c r="E4" s="16" t="s">
        <v>77</v>
      </c>
      <c r="F4" s="16" t="s">
        <v>78</v>
      </c>
      <c r="G4" s="16" t="s">
        <v>72</v>
      </c>
      <c r="H4" s="16"/>
      <c r="I4" s="16"/>
      <c r="J4" s="16" t="s">
        <v>72</v>
      </c>
      <c r="K4" s="16" t="s">
        <v>72</v>
      </c>
      <c r="L4" s="16" t="s">
        <v>72</v>
      </c>
      <c r="M4" s="16" t="s">
        <v>20</v>
      </c>
      <c r="N4" s="16" t="s">
        <v>79</v>
      </c>
    </row>
    <row r="5" customFormat="false" ht="157.5" hidden="false" customHeight="true" outlineLevel="0" collapsed="false">
      <c r="A5" s="16" t="n">
        <v>1</v>
      </c>
      <c r="B5" s="16" t="s">
        <v>80</v>
      </c>
      <c r="C5" s="16"/>
      <c r="D5" s="16"/>
      <c r="E5" s="16" t="s">
        <v>77</v>
      </c>
      <c r="F5" s="16" t="s">
        <v>84</v>
      </c>
      <c r="G5" s="16" t="s">
        <v>71</v>
      </c>
      <c r="H5" s="16" t="s">
        <v>78</v>
      </c>
      <c r="I5" s="16" t="s">
        <v>1736</v>
      </c>
      <c r="J5" s="16" t="s">
        <v>72</v>
      </c>
      <c r="K5" s="16" t="s">
        <v>72</v>
      </c>
      <c r="L5" s="16" t="s">
        <v>72</v>
      </c>
      <c r="M5" s="16" t="s">
        <v>1737</v>
      </c>
      <c r="N5" s="16" t="s">
        <v>1434</v>
      </c>
    </row>
    <row r="6" customFormat="false" ht="90.75" hidden="false" customHeight="true" outlineLevel="0" collapsed="false">
      <c r="A6" s="16" t="n">
        <v>2</v>
      </c>
      <c r="B6" s="16" t="s">
        <v>86</v>
      </c>
      <c r="C6" s="16"/>
      <c r="D6" s="16"/>
      <c r="E6" s="16" t="s">
        <v>77</v>
      </c>
      <c r="F6" s="16" t="s">
        <v>84</v>
      </c>
      <c r="G6" s="16" t="s">
        <v>71</v>
      </c>
      <c r="H6" s="16" t="s">
        <v>91</v>
      </c>
      <c r="I6" s="16" t="s">
        <v>1738</v>
      </c>
      <c r="J6" s="16" t="s">
        <v>72</v>
      </c>
      <c r="K6" s="16" t="s">
        <v>72</v>
      </c>
      <c r="L6" s="16" t="s">
        <v>72</v>
      </c>
      <c r="M6" s="16" t="s">
        <v>1739</v>
      </c>
      <c r="N6" s="16" t="s">
        <v>1437</v>
      </c>
    </row>
    <row r="7" customFormat="false" ht="79.5" hidden="false" customHeight="true" outlineLevel="0" collapsed="false">
      <c r="A7" s="16" t="n">
        <v>3</v>
      </c>
      <c r="B7" s="16" t="s">
        <v>89</v>
      </c>
      <c r="C7" s="16"/>
      <c r="D7" s="16"/>
      <c r="E7" s="16" t="s">
        <v>77</v>
      </c>
      <c r="F7" s="16" t="s">
        <v>91</v>
      </c>
      <c r="G7" s="16" t="s">
        <v>72</v>
      </c>
      <c r="H7" s="16"/>
      <c r="I7" s="16"/>
      <c r="J7" s="16" t="s">
        <v>72</v>
      </c>
      <c r="K7" s="16" t="s">
        <v>72</v>
      </c>
      <c r="L7" s="16" t="s">
        <v>72</v>
      </c>
      <c r="M7" s="16" t="s">
        <v>105</v>
      </c>
      <c r="N7" s="16" t="s">
        <v>1439</v>
      </c>
    </row>
    <row r="8" customFormat="false" ht="79.5" hidden="false" customHeight="true" outlineLevel="0" collapsed="false">
      <c r="A8" s="16" t="n">
        <v>4</v>
      </c>
      <c r="B8" s="16" t="s">
        <v>93</v>
      </c>
      <c r="C8" s="16"/>
      <c r="D8" s="16"/>
      <c r="E8" s="16" t="s">
        <v>77</v>
      </c>
      <c r="F8" s="16" t="s">
        <v>91</v>
      </c>
      <c r="G8" s="16" t="s">
        <v>72</v>
      </c>
      <c r="H8" s="16"/>
      <c r="I8" s="16"/>
      <c r="J8" s="16" t="s">
        <v>72</v>
      </c>
      <c r="K8" s="16" t="s">
        <v>72</v>
      </c>
      <c r="L8" s="16" t="s">
        <v>72</v>
      </c>
      <c r="M8" s="16" t="s">
        <v>105</v>
      </c>
      <c r="N8" s="16" t="s">
        <v>1441</v>
      </c>
    </row>
    <row r="9" customFormat="false" ht="57" hidden="false" customHeight="true" outlineLevel="0" collapsed="false">
      <c r="A9" s="16" t="n">
        <v>5</v>
      </c>
      <c r="B9" s="16" t="s">
        <v>97</v>
      </c>
      <c r="C9" s="16"/>
      <c r="D9" s="16"/>
      <c r="E9" s="16" t="s">
        <v>77</v>
      </c>
      <c r="F9" s="16" t="s">
        <v>91</v>
      </c>
      <c r="G9" s="16" t="s">
        <v>72</v>
      </c>
      <c r="H9" s="16"/>
      <c r="I9" s="16"/>
      <c r="J9" s="16" t="s">
        <v>72</v>
      </c>
      <c r="K9" s="16" t="s">
        <v>72</v>
      </c>
      <c r="L9" s="16" t="s">
        <v>72</v>
      </c>
      <c r="M9" s="16" t="s">
        <v>20</v>
      </c>
      <c r="N9" s="16" t="s">
        <v>1443</v>
      </c>
    </row>
    <row r="10" customFormat="false" ht="57" hidden="false" customHeight="true" outlineLevel="0" collapsed="false">
      <c r="A10" s="16" t="n">
        <v>6</v>
      </c>
      <c r="B10" s="16" t="s">
        <v>100</v>
      </c>
      <c r="C10" s="16"/>
      <c r="D10" s="16"/>
      <c r="E10" s="16" t="s">
        <v>77</v>
      </c>
      <c r="F10" s="16" t="s">
        <v>91</v>
      </c>
      <c r="G10" s="16" t="s">
        <v>71</v>
      </c>
      <c r="H10" s="16" t="s">
        <v>78</v>
      </c>
      <c r="I10" s="16" t="s">
        <v>1740</v>
      </c>
      <c r="J10" s="16" t="s">
        <v>72</v>
      </c>
      <c r="K10" s="16" t="s">
        <v>72</v>
      </c>
      <c r="L10" s="16" t="s">
        <v>72</v>
      </c>
      <c r="M10" s="16" t="s">
        <v>1741</v>
      </c>
      <c r="N10" s="16" t="s">
        <v>1445</v>
      </c>
    </row>
    <row r="11" customFormat="false" ht="45.75" hidden="false" customHeight="true" outlineLevel="0" collapsed="false">
      <c r="A11" s="16" t="n">
        <v>7</v>
      </c>
      <c r="B11" s="16" t="s">
        <v>103</v>
      </c>
      <c r="C11" s="16"/>
      <c r="D11" s="16"/>
      <c r="E11" s="16" t="s">
        <v>77</v>
      </c>
      <c r="F11" s="16" t="s">
        <v>91</v>
      </c>
      <c r="G11" s="16" t="s">
        <v>72</v>
      </c>
      <c r="H11" s="16"/>
      <c r="I11" s="16"/>
      <c r="J11" s="16" t="s">
        <v>72</v>
      </c>
      <c r="K11" s="16" t="s">
        <v>72</v>
      </c>
      <c r="L11" s="16" t="s">
        <v>72</v>
      </c>
      <c r="M11" s="16" t="s">
        <v>105</v>
      </c>
      <c r="N11" s="16" t="s">
        <v>1447</v>
      </c>
    </row>
    <row r="12" customFormat="false" ht="23.25" hidden="false" customHeight="true" outlineLevel="0" collapsed="false">
      <c r="A12" s="16" t="n">
        <v>8</v>
      </c>
      <c r="B12" s="16" t="s">
        <v>107</v>
      </c>
      <c r="C12" s="16"/>
      <c r="D12" s="16"/>
      <c r="E12" s="16" t="s">
        <v>77</v>
      </c>
      <c r="F12" s="16" t="s">
        <v>91</v>
      </c>
      <c r="G12" s="16" t="s">
        <v>72</v>
      </c>
      <c r="H12" s="16"/>
      <c r="I12" s="16"/>
      <c r="J12" s="16" t="s">
        <v>72</v>
      </c>
      <c r="K12" s="16" t="s">
        <v>72</v>
      </c>
      <c r="L12" s="16" t="s">
        <v>72</v>
      </c>
      <c r="M12" s="16" t="s">
        <v>20</v>
      </c>
      <c r="N12" s="16" t="s">
        <v>1449</v>
      </c>
    </row>
    <row r="13" customFormat="false" ht="23.25" hidden="false" customHeight="true" outlineLevel="0" collapsed="false">
      <c r="A13" s="16" t="n">
        <v>9</v>
      </c>
      <c r="B13" s="16" t="s">
        <v>110</v>
      </c>
      <c r="C13" s="16"/>
      <c r="D13" s="16"/>
      <c r="E13" s="16" t="s">
        <v>77</v>
      </c>
      <c r="F13" s="16" t="s">
        <v>91</v>
      </c>
      <c r="G13" s="16" t="s">
        <v>72</v>
      </c>
      <c r="H13" s="16"/>
      <c r="I13" s="16"/>
      <c r="J13" s="16" t="s">
        <v>72</v>
      </c>
      <c r="K13" s="16" t="s">
        <v>72</v>
      </c>
      <c r="L13" s="16" t="s">
        <v>72</v>
      </c>
      <c r="M13" s="16" t="s">
        <v>20</v>
      </c>
      <c r="N13" s="16" t="s">
        <v>1449</v>
      </c>
    </row>
    <row r="14" customFormat="false" ht="23.25" hidden="false" customHeight="true" outlineLevel="0" collapsed="false">
      <c r="A14" s="16" t="n">
        <v>10</v>
      </c>
      <c r="B14" s="16" t="s">
        <v>112</v>
      </c>
      <c r="C14" s="16"/>
      <c r="D14" s="16"/>
      <c r="E14" s="16" t="s">
        <v>77</v>
      </c>
      <c r="F14" s="16" t="s">
        <v>91</v>
      </c>
      <c r="G14" s="16" t="s">
        <v>72</v>
      </c>
      <c r="H14" s="16"/>
      <c r="I14" s="16"/>
      <c r="J14" s="16" t="s">
        <v>72</v>
      </c>
      <c r="K14" s="16" t="s">
        <v>72</v>
      </c>
      <c r="L14" s="16" t="s">
        <v>72</v>
      </c>
      <c r="M14" s="16" t="s">
        <v>20</v>
      </c>
      <c r="N14" s="16" t="s">
        <v>1449</v>
      </c>
    </row>
    <row r="15" customFormat="false" ht="23.25" hidden="false" customHeight="true" outlineLevel="0" collapsed="false">
      <c r="A15" s="16" t="n">
        <v>11</v>
      </c>
      <c r="B15" s="16" t="s">
        <v>114</v>
      </c>
      <c r="C15" s="16" t="s">
        <v>860</v>
      </c>
      <c r="D15" s="16" t="s">
        <v>861</v>
      </c>
      <c r="E15" s="16" t="s">
        <v>77</v>
      </c>
      <c r="F15" s="16" t="s">
        <v>78</v>
      </c>
      <c r="G15" s="16" t="s">
        <v>72</v>
      </c>
      <c r="H15" s="16"/>
      <c r="I15" s="16"/>
      <c r="J15" s="16" t="s">
        <v>72</v>
      </c>
      <c r="K15" s="16" t="s">
        <v>72</v>
      </c>
      <c r="L15" s="16" t="s">
        <v>72</v>
      </c>
      <c r="M15" s="16" t="s">
        <v>20</v>
      </c>
      <c r="N15" s="16" t="s">
        <v>117</v>
      </c>
    </row>
    <row r="16" customFormat="false" ht="23.25" hidden="false" customHeight="true" outlineLevel="0" collapsed="false">
      <c r="A16" s="16" t="n">
        <v>12</v>
      </c>
      <c r="B16" s="16" t="s">
        <v>118</v>
      </c>
      <c r="C16" s="16" t="s">
        <v>869</v>
      </c>
      <c r="D16" s="16" t="s">
        <v>870</v>
      </c>
      <c r="E16" s="16" t="s">
        <v>77</v>
      </c>
      <c r="F16" s="16" t="s">
        <v>78</v>
      </c>
      <c r="G16" s="16" t="s">
        <v>72</v>
      </c>
      <c r="H16" s="16"/>
      <c r="I16" s="16"/>
      <c r="J16" s="16" t="s">
        <v>72</v>
      </c>
      <c r="K16" s="16" t="s">
        <v>72</v>
      </c>
      <c r="L16" s="16" t="s">
        <v>72</v>
      </c>
      <c r="M16" s="16" t="s">
        <v>20</v>
      </c>
      <c r="N16" s="16" t="s">
        <v>117</v>
      </c>
    </row>
    <row r="17" customFormat="false" ht="23.25" hidden="false" customHeight="true" outlineLevel="0" collapsed="false">
      <c r="A17" s="16" t="n">
        <v>13</v>
      </c>
      <c r="B17" s="16" t="s">
        <v>121</v>
      </c>
      <c r="C17" s="16"/>
      <c r="D17" s="16"/>
      <c r="E17" s="16" t="s">
        <v>77</v>
      </c>
      <c r="F17" s="16" t="s">
        <v>78</v>
      </c>
      <c r="G17" s="16" t="s">
        <v>72</v>
      </c>
      <c r="H17" s="16"/>
      <c r="I17" s="16"/>
      <c r="J17" s="16" t="s">
        <v>72</v>
      </c>
      <c r="K17" s="16" t="s">
        <v>72</v>
      </c>
      <c r="L17" s="16" t="s">
        <v>72</v>
      </c>
      <c r="M17" s="16" t="s">
        <v>20</v>
      </c>
      <c r="N17" s="16" t="s">
        <v>117</v>
      </c>
    </row>
    <row r="18" customFormat="false" ht="23.25" hidden="false" customHeight="true" outlineLevel="0" collapsed="false">
      <c r="A18" s="16" t="n">
        <v>14</v>
      </c>
      <c r="B18" s="16" t="s">
        <v>125</v>
      </c>
      <c r="C18" s="16"/>
      <c r="D18" s="16"/>
      <c r="E18" s="16" t="s">
        <v>77</v>
      </c>
      <c r="F18" s="16" t="s">
        <v>78</v>
      </c>
      <c r="G18" s="16" t="s">
        <v>72</v>
      </c>
      <c r="H18" s="16"/>
      <c r="I18" s="16"/>
      <c r="J18" s="16" t="s">
        <v>72</v>
      </c>
      <c r="K18" s="16" t="s">
        <v>72</v>
      </c>
      <c r="L18" s="16" t="s">
        <v>72</v>
      </c>
      <c r="M18" s="16" t="s">
        <v>20</v>
      </c>
      <c r="N18" s="16" t="s">
        <v>117</v>
      </c>
    </row>
    <row r="19" customFormat="false" ht="23.25" hidden="false" customHeight="true" outlineLevel="0" collapsed="false">
      <c r="A19" s="16" t="n">
        <v>15</v>
      </c>
      <c r="B19" s="16" t="s">
        <v>129</v>
      </c>
      <c r="C19" s="16"/>
      <c r="D19" s="16"/>
      <c r="E19" s="16" t="s">
        <v>77</v>
      </c>
      <c r="F19" s="16" t="s">
        <v>78</v>
      </c>
      <c r="G19" s="16" t="s">
        <v>72</v>
      </c>
      <c r="H19" s="16"/>
      <c r="I19" s="16"/>
      <c r="J19" s="16" t="s">
        <v>72</v>
      </c>
      <c r="K19" s="16" t="s">
        <v>72</v>
      </c>
      <c r="L19" s="16" t="s">
        <v>72</v>
      </c>
      <c r="M19" s="16" t="s">
        <v>20</v>
      </c>
      <c r="N19" s="16" t="s">
        <v>117</v>
      </c>
    </row>
    <row r="20" customFormat="false" ht="23.25" hidden="false" customHeight="true" outlineLevel="0" collapsed="false">
      <c r="A20" s="16" t="n">
        <v>16</v>
      </c>
      <c r="B20" s="16" t="s">
        <v>134</v>
      </c>
      <c r="C20" s="16"/>
      <c r="D20" s="16"/>
      <c r="E20" s="16" t="s">
        <v>77</v>
      </c>
      <c r="F20" s="16" t="s">
        <v>78</v>
      </c>
      <c r="G20" s="16" t="s">
        <v>72</v>
      </c>
      <c r="H20" s="16"/>
      <c r="I20" s="16"/>
      <c r="J20" s="16" t="s">
        <v>72</v>
      </c>
      <c r="K20" s="16" t="s">
        <v>72</v>
      </c>
      <c r="L20" s="16" t="s">
        <v>72</v>
      </c>
      <c r="M20" s="16" t="s">
        <v>20</v>
      </c>
      <c r="N20" s="16" t="s">
        <v>117</v>
      </c>
    </row>
    <row r="21" customFormat="false" ht="23.25" hidden="false" customHeight="true" outlineLevel="0" collapsed="false">
      <c r="A21" s="16" t="n">
        <v>17</v>
      </c>
      <c r="B21" s="16" t="s">
        <v>138</v>
      </c>
      <c r="C21" s="16"/>
      <c r="D21" s="16"/>
      <c r="E21" s="16" t="s">
        <v>77</v>
      </c>
      <c r="F21" s="16" t="s">
        <v>78</v>
      </c>
      <c r="G21" s="16" t="s">
        <v>72</v>
      </c>
      <c r="H21" s="16"/>
      <c r="I21" s="16"/>
      <c r="J21" s="16" t="s">
        <v>72</v>
      </c>
      <c r="K21" s="16" t="s">
        <v>72</v>
      </c>
      <c r="L21" s="16" t="s">
        <v>72</v>
      </c>
      <c r="M21" s="16" t="s">
        <v>20</v>
      </c>
      <c r="N21" s="16" t="s">
        <v>117</v>
      </c>
    </row>
    <row r="22" customFormat="false" ht="23.25" hidden="false" customHeight="true" outlineLevel="0" collapsed="false">
      <c r="A22" s="16" t="n">
        <v>18</v>
      </c>
      <c r="B22" s="16" t="s">
        <v>141</v>
      </c>
      <c r="C22" s="16"/>
      <c r="D22" s="16"/>
      <c r="E22" s="16" t="s">
        <v>77</v>
      </c>
      <c r="F22" s="16" t="s">
        <v>78</v>
      </c>
      <c r="G22" s="16" t="s">
        <v>72</v>
      </c>
      <c r="H22" s="16"/>
      <c r="I22" s="16"/>
      <c r="J22" s="16" t="s">
        <v>72</v>
      </c>
      <c r="K22" s="16" t="s">
        <v>72</v>
      </c>
      <c r="L22" s="16" t="s">
        <v>72</v>
      </c>
      <c r="M22" s="16" t="s">
        <v>20</v>
      </c>
      <c r="N22" s="16" t="s">
        <v>117</v>
      </c>
    </row>
    <row r="23" customFormat="false" ht="23.25" hidden="false" customHeight="true" outlineLevel="0" collapsed="false">
      <c r="A23" s="16" t="n">
        <v>19</v>
      </c>
      <c r="B23" s="16" t="s">
        <v>144</v>
      </c>
      <c r="C23" s="16"/>
      <c r="D23" s="16"/>
      <c r="E23" s="16" t="s">
        <v>77</v>
      </c>
      <c r="F23" s="16" t="s">
        <v>78</v>
      </c>
      <c r="G23" s="16" t="s">
        <v>72</v>
      </c>
      <c r="H23" s="16"/>
      <c r="I23" s="16"/>
      <c r="J23" s="16" t="s">
        <v>72</v>
      </c>
      <c r="K23" s="16" t="s">
        <v>72</v>
      </c>
      <c r="L23" s="16" t="s">
        <v>72</v>
      </c>
      <c r="M23" s="16" t="s">
        <v>20</v>
      </c>
      <c r="N23" s="16" t="s">
        <v>117</v>
      </c>
    </row>
    <row r="24" customFormat="false" ht="23.25" hidden="false" customHeight="true" outlineLevel="0" collapsed="false">
      <c r="A24" s="16" t="n">
        <v>20</v>
      </c>
      <c r="B24" s="16" t="s">
        <v>149</v>
      </c>
      <c r="C24" s="16" t="s">
        <v>883</v>
      </c>
      <c r="D24" s="16" t="s">
        <v>884</v>
      </c>
      <c r="E24" s="16" t="s">
        <v>77</v>
      </c>
      <c r="F24" s="16" t="s">
        <v>78</v>
      </c>
      <c r="G24" s="16" t="s">
        <v>72</v>
      </c>
      <c r="H24" s="16"/>
      <c r="I24" s="16"/>
      <c r="J24" s="16" t="s">
        <v>72</v>
      </c>
      <c r="K24" s="16" t="s">
        <v>72</v>
      </c>
      <c r="L24" s="16" t="s">
        <v>72</v>
      </c>
      <c r="M24" s="16" t="s">
        <v>20</v>
      </c>
      <c r="N24" s="16" t="s">
        <v>117</v>
      </c>
    </row>
    <row r="25" customFormat="false" ht="23.25" hidden="false" customHeight="true" outlineLevel="0" collapsed="false">
      <c r="A25" s="16" t="n">
        <v>21</v>
      </c>
      <c r="B25" s="16" t="s">
        <v>153</v>
      </c>
      <c r="C25" s="16"/>
      <c r="D25" s="16"/>
      <c r="E25" s="16" t="s">
        <v>77</v>
      </c>
      <c r="F25" s="16" t="s">
        <v>78</v>
      </c>
      <c r="G25" s="16" t="s">
        <v>72</v>
      </c>
      <c r="H25" s="16"/>
      <c r="I25" s="16"/>
      <c r="J25" s="16" t="s">
        <v>72</v>
      </c>
      <c r="K25" s="16" t="s">
        <v>72</v>
      </c>
      <c r="L25" s="16" t="s">
        <v>72</v>
      </c>
      <c r="M25" s="16" t="s">
        <v>20</v>
      </c>
      <c r="N25" s="16" t="s">
        <v>117</v>
      </c>
    </row>
    <row r="26" customFormat="false" ht="23.25" hidden="false" customHeight="true" outlineLevel="0" collapsed="false">
      <c r="A26" s="16" t="n">
        <v>22</v>
      </c>
      <c r="B26" s="16" t="s">
        <v>157</v>
      </c>
      <c r="C26" s="16"/>
      <c r="D26" s="16"/>
      <c r="E26" s="16" t="s">
        <v>77</v>
      </c>
      <c r="F26" s="16" t="s">
        <v>78</v>
      </c>
      <c r="G26" s="16" t="s">
        <v>72</v>
      </c>
      <c r="H26" s="16"/>
      <c r="I26" s="16"/>
      <c r="J26" s="16" t="s">
        <v>72</v>
      </c>
      <c r="K26" s="16" t="s">
        <v>72</v>
      </c>
      <c r="L26" s="16" t="s">
        <v>72</v>
      </c>
      <c r="M26" s="16" t="s">
        <v>20</v>
      </c>
      <c r="N26" s="16" t="s">
        <v>117</v>
      </c>
    </row>
    <row r="27" customFormat="false" ht="79.5" hidden="false" customHeight="true" outlineLevel="0" collapsed="false">
      <c r="A27" s="16" t="n">
        <v>23</v>
      </c>
      <c r="B27" s="16" t="s">
        <v>161</v>
      </c>
      <c r="C27" s="16" t="s">
        <v>902</v>
      </c>
      <c r="D27" s="16" t="s">
        <v>903</v>
      </c>
      <c r="E27" s="16" t="s">
        <v>77</v>
      </c>
      <c r="F27" s="16" t="s">
        <v>78</v>
      </c>
      <c r="G27" s="16" t="s">
        <v>71</v>
      </c>
      <c r="H27" s="16" t="s">
        <v>78</v>
      </c>
      <c r="I27" s="16" t="s">
        <v>1742</v>
      </c>
      <c r="J27" s="16" t="s">
        <v>72</v>
      </c>
      <c r="K27" s="16" t="s">
        <v>72</v>
      </c>
      <c r="L27" s="16" t="s">
        <v>72</v>
      </c>
      <c r="M27" s="16" t="s">
        <v>1743</v>
      </c>
      <c r="N27" s="16" t="s">
        <v>117</v>
      </c>
    </row>
    <row r="28" customFormat="false" ht="23.25" hidden="false" customHeight="true" outlineLevel="0" collapsed="false">
      <c r="A28" s="16" t="n">
        <v>24</v>
      </c>
      <c r="B28" s="16" t="s">
        <v>166</v>
      </c>
      <c r="C28" s="16" t="s">
        <v>922</v>
      </c>
      <c r="D28" s="16" t="s">
        <v>923</v>
      </c>
      <c r="E28" s="16" t="s">
        <v>77</v>
      </c>
      <c r="F28" s="16" t="s">
        <v>78</v>
      </c>
      <c r="G28" s="16" t="s">
        <v>72</v>
      </c>
      <c r="H28" s="16"/>
      <c r="I28" s="16"/>
      <c r="J28" s="16" t="s">
        <v>72</v>
      </c>
      <c r="K28" s="16" t="s">
        <v>72</v>
      </c>
      <c r="L28" s="16" t="s">
        <v>72</v>
      </c>
      <c r="M28" s="16" t="s">
        <v>20</v>
      </c>
      <c r="N28" s="16" t="s">
        <v>117</v>
      </c>
    </row>
    <row r="29" customFormat="false" ht="23.25" hidden="false" customHeight="true" outlineLevel="0" collapsed="false">
      <c r="A29" s="16" t="n">
        <v>25</v>
      </c>
      <c r="B29" s="16" t="s">
        <v>170</v>
      </c>
      <c r="C29" s="16" t="s">
        <v>926</v>
      </c>
      <c r="D29" s="16" t="s">
        <v>927</v>
      </c>
      <c r="E29" s="16" t="s">
        <v>77</v>
      </c>
      <c r="F29" s="16" t="s">
        <v>78</v>
      </c>
      <c r="G29" s="16" t="s">
        <v>72</v>
      </c>
      <c r="H29" s="16"/>
      <c r="I29" s="16"/>
      <c r="J29" s="16" t="s">
        <v>72</v>
      </c>
      <c r="K29" s="16" t="s">
        <v>72</v>
      </c>
      <c r="L29" s="16" t="s">
        <v>72</v>
      </c>
      <c r="M29" s="16" t="s">
        <v>20</v>
      </c>
      <c r="N29" s="16" t="s">
        <v>117</v>
      </c>
    </row>
    <row r="30" customFormat="false" ht="23.25" hidden="false" customHeight="true" outlineLevel="0" collapsed="false">
      <c r="A30" s="16" t="n">
        <v>26</v>
      </c>
      <c r="B30" s="16" t="s">
        <v>174</v>
      </c>
      <c r="C30" s="16"/>
      <c r="D30" s="16"/>
      <c r="E30" s="16" t="s">
        <v>77</v>
      </c>
      <c r="F30" s="16" t="s">
        <v>78</v>
      </c>
      <c r="G30" s="16" t="s">
        <v>72</v>
      </c>
      <c r="H30" s="16"/>
      <c r="I30" s="16"/>
      <c r="J30" s="16" t="s">
        <v>72</v>
      </c>
      <c r="K30" s="16" t="s">
        <v>72</v>
      </c>
      <c r="L30" s="16" t="s">
        <v>72</v>
      </c>
      <c r="M30" s="16" t="s">
        <v>20</v>
      </c>
      <c r="N30" s="16" t="s">
        <v>117</v>
      </c>
    </row>
    <row r="31" customFormat="false" ht="23.25" hidden="false" customHeight="true" outlineLevel="0" collapsed="false">
      <c r="A31" s="16" t="n">
        <v>27</v>
      </c>
      <c r="B31" s="16" t="s">
        <v>179</v>
      </c>
      <c r="C31" s="16" t="s">
        <v>949</v>
      </c>
      <c r="D31" s="16" t="s">
        <v>950</v>
      </c>
      <c r="E31" s="16" t="s">
        <v>77</v>
      </c>
      <c r="F31" s="16" t="s">
        <v>78</v>
      </c>
      <c r="G31" s="16" t="s">
        <v>72</v>
      </c>
      <c r="H31" s="16"/>
      <c r="I31" s="16"/>
      <c r="J31" s="16" t="s">
        <v>72</v>
      </c>
      <c r="K31" s="16" t="s">
        <v>72</v>
      </c>
      <c r="L31" s="16" t="s">
        <v>72</v>
      </c>
      <c r="M31" s="16" t="s">
        <v>20</v>
      </c>
      <c r="N31" s="16" t="s">
        <v>117</v>
      </c>
    </row>
    <row r="32" customFormat="false" ht="23.25" hidden="false" customHeight="true" outlineLevel="0" collapsed="false">
      <c r="A32" s="16" t="n">
        <v>28</v>
      </c>
      <c r="B32" s="16" t="s">
        <v>183</v>
      </c>
      <c r="C32" s="16"/>
      <c r="D32" s="16"/>
      <c r="E32" s="16" t="s">
        <v>77</v>
      </c>
      <c r="F32" s="16" t="s">
        <v>78</v>
      </c>
      <c r="G32" s="16" t="s">
        <v>72</v>
      </c>
      <c r="H32" s="16"/>
      <c r="I32" s="16"/>
      <c r="J32" s="16" t="s">
        <v>72</v>
      </c>
      <c r="K32" s="16" t="s">
        <v>72</v>
      </c>
      <c r="L32" s="16" t="s">
        <v>72</v>
      </c>
      <c r="M32" s="16" t="s">
        <v>20</v>
      </c>
      <c r="N32" s="16" t="s">
        <v>117</v>
      </c>
    </row>
    <row r="33" customFormat="false" ht="23.25" hidden="false" customHeight="true" outlineLevel="0" collapsed="false">
      <c r="A33" s="16" t="n">
        <v>29</v>
      </c>
      <c r="B33" s="16" t="s">
        <v>187</v>
      </c>
      <c r="C33" s="16"/>
      <c r="D33" s="16"/>
      <c r="E33" s="16" t="s">
        <v>77</v>
      </c>
      <c r="F33" s="16" t="s">
        <v>78</v>
      </c>
      <c r="G33" s="16" t="s">
        <v>72</v>
      </c>
      <c r="H33" s="16"/>
      <c r="I33" s="16"/>
      <c r="J33" s="16" t="s">
        <v>72</v>
      </c>
      <c r="K33" s="16" t="s">
        <v>72</v>
      </c>
      <c r="L33" s="16" t="s">
        <v>72</v>
      </c>
      <c r="M33" s="16" t="s">
        <v>20</v>
      </c>
      <c r="N33" s="16" t="s">
        <v>117</v>
      </c>
    </row>
    <row r="34" customFormat="false" ht="23.25" hidden="false" customHeight="true" outlineLevel="0" collapsed="false">
      <c r="A34" s="16" t="n">
        <v>30</v>
      </c>
      <c r="B34" s="16" t="s">
        <v>191</v>
      </c>
      <c r="C34" s="16"/>
      <c r="D34" s="16"/>
      <c r="E34" s="16" t="s">
        <v>77</v>
      </c>
      <c r="F34" s="16" t="s">
        <v>78</v>
      </c>
      <c r="G34" s="16" t="s">
        <v>72</v>
      </c>
      <c r="H34" s="16"/>
      <c r="I34" s="16"/>
      <c r="J34" s="16" t="s">
        <v>72</v>
      </c>
      <c r="K34" s="16" t="s">
        <v>72</v>
      </c>
      <c r="L34" s="16" t="s">
        <v>72</v>
      </c>
      <c r="M34" s="16" t="s">
        <v>20</v>
      </c>
      <c r="N34" s="16" t="s">
        <v>117</v>
      </c>
    </row>
    <row r="35" customFormat="false" ht="23.25" hidden="false" customHeight="true" outlineLevel="0" collapsed="false">
      <c r="A35" s="16" t="n">
        <v>31</v>
      </c>
      <c r="B35" s="16" t="s">
        <v>196</v>
      </c>
      <c r="C35" s="16"/>
      <c r="D35" s="16"/>
      <c r="E35" s="16" t="s">
        <v>77</v>
      </c>
      <c r="F35" s="16" t="s">
        <v>78</v>
      </c>
      <c r="G35" s="16" t="s">
        <v>72</v>
      </c>
      <c r="H35" s="16"/>
      <c r="I35" s="16"/>
      <c r="J35" s="16" t="s">
        <v>72</v>
      </c>
      <c r="K35" s="16" t="s">
        <v>72</v>
      </c>
      <c r="L35" s="16" t="s">
        <v>72</v>
      </c>
      <c r="M35" s="16" t="s">
        <v>20</v>
      </c>
      <c r="N35" s="16" t="s">
        <v>117</v>
      </c>
    </row>
    <row r="36" customFormat="false" ht="23.25" hidden="false" customHeight="true" outlineLevel="0" collapsed="false">
      <c r="A36" s="16" t="n">
        <v>32</v>
      </c>
      <c r="B36" s="16" t="s">
        <v>200</v>
      </c>
      <c r="C36" s="16" t="s">
        <v>994</v>
      </c>
      <c r="D36" s="16" t="s">
        <v>995</v>
      </c>
      <c r="E36" s="16" t="s">
        <v>77</v>
      </c>
      <c r="F36" s="16" t="s">
        <v>78</v>
      </c>
      <c r="G36" s="16" t="s">
        <v>72</v>
      </c>
      <c r="H36" s="16"/>
      <c r="I36" s="16"/>
      <c r="J36" s="16" t="s">
        <v>72</v>
      </c>
      <c r="K36" s="16" t="s">
        <v>72</v>
      </c>
      <c r="L36" s="16" t="s">
        <v>72</v>
      </c>
      <c r="M36" s="16" t="s">
        <v>20</v>
      </c>
      <c r="N36" s="16" t="s">
        <v>117</v>
      </c>
    </row>
    <row r="37" customFormat="false" ht="23.25" hidden="false" customHeight="true" outlineLevel="0" collapsed="false">
      <c r="A37" s="16" t="n">
        <v>33</v>
      </c>
      <c r="B37" s="16" t="s">
        <v>204</v>
      </c>
      <c r="C37" s="16"/>
      <c r="D37" s="16"/>
      <c r="E37" s="16" t="s">
        <v>77</v>
      </c>
      <c r="F37" s="16" t="s">
        <v>78</v>
      </c>
      <c r="G37" s="16" t="s">
        <v>72</v>
      </c>
      <c r="H37" s="16"/>
      <c r="I37" s="16"/>
      <c r="J37" s="16" t="s">
        <v>72</v>
      </c>
      <c r="K37" s="16" t="s">
        <v>72</v>
      </c>
      <c r="L37" s="16" t="s">
        <v>72</v>
      </c>
      <c r="M37" s="16" t="s">
        <v>20</v>
      </c>
      <c r="N37" s="16" t="s">
        <v>117</v>
      </c>
    </row>
    <row r="38" customFormat="false" ht="23.25" hidden="false" customHeight="true" outlineLevel="0" collapsed="false">
      <c r="A38" s="16" t="n">
        <v>34</v>
      </c>
      <c r="B38" s="16" t="s">
        <v>210</v>
      </c>
      <c r="C38" s="16"/>
      <c r="D38" s="16"/>
      <c r="E38" s="16" t="s">
        <v>77</v>
      </c>
      <c r="F38" s="16" t="s">
        <v>78</v>
      </c>
      <c r="G38" s="16" t="s">
        <v>72</v>
      </c>
      <c r="H38" s="16"/>
      <c r="I38" s="16"/>
      <c r="J38" s="16" t="s">
        <v>72</v>
      </c>
      <c r="K38" s="16" t="s">
        <v>72</v>
      </c>
      <c r="L38" s="16" t="s">
        <v>72</v>
      </c>
      <c r="M38" s="16" t="s">
        <v>20</v>
      </c>
      <c r="N38" s="16" t="s">
        <v>117</v>
      </c>
    </row>
    <row r="39" customFormat="false" ht="23.25" hidden="false" customHeight="true" outlineLevel="0" collapsed="false">
      <c r="A39" s="16" t="n">
        <v>35</v>
      </c>
      <c r="B39" s="16" t="s">
        <v>215</v>
      </c>
      <c r="C39" s="16" t="s">
        <v>1001</v>
      </c>
      <c r="D39" s="16" t="s">
        <v>1002</v>
      </c>
      <c r="E39" s="16" t="s">
        <v>77</v>
      </c>
      <c r="F39" s="16" t="s">
        <v>78</v>
      </c>
      <c r="G39" s="16" t="s">
        <v>72</v>
      </c>
      <c r="H39" s="16"/>
      <c r="I39" s="16"/>
      <c r="J39" s="16" t="s">
        <v>72</v>
      </c>
      <c r="K39" s="16" t="s">
        <v>72</v>
      </c>
      <c r="L39" s="16" t="s">
        <v>72</v>
      </c>
      <c r="M39" s="16" t="s">
        <v>20</v>
      </c>
      <c r="N39" s="16" t="s">
        <v>117</v>
      </c>
    </row>
    <row r="40" customFormat="false" ht="23.25" hidden="false" customHeight="true" outlineLevel="0" collapsed="false">
      <c r="A40" s="16" t="n">
        <v>36</v>
      </c>
      <c r="B40" s="16" t="s">
        <v>219</v>
      </c>
      <c r="C40" s="16"/>
      <c r="D40" s="16"/>
      <c r="E40" s="16" t="s">
        <v>77</v>
      </c>
      <c r="F40" s="16" t="s">
        <v>78</v>
      </c>
      <c r="G40" s="16" t="s">
        <v>72</v>
      </c>
      <c r="H40" s="16"/>
      <c r="I40" s="16"/>
      <c r="J40" s="16" t="s">
        <v>72</v>
      </c>
      <c r="K40" s="16" t="s">
        <v>72</v>
      </c>
      <c r="L40" s="16" t="s">
        <v>72</v>
      </c>
      <c r="M40" s="16" t="s">
        <v>20</v>
      </c>
      <c r="N40" s="16" t="s">
        <v>117</v>
      </c>
    </row>
    <row r="41" customFormat="false" ht="23.25" hidden="false" customHeight="true" outlineLevel="0" collapsed="false">
      <c r="A41" s="16" t="n">
        <v>37</v>
      </c>
      <c r="B41" s="16" t="s">
        <v>224</v>
      </c>
      <c r="C41" s="16"/>
      <c r="D41" s="16"/>
      <c r="E41" s="16" t="s">
        <v>77</v>
      </c>
      <c r="F41" s="16" t="s">
        <v>78</v>
      </c>
      <c r="G41" s="16" t="s">
        <v>72</v>
      </c>
      <c r="H41" s="16"/>
      <c r="I41" s="16"/>
      <c r="J41" s="16" t="s">
        <v>72</v>
      </c>
      <c r="K41" s="16" t="s">
        <v>72</v>
      </c>
      <c r="L41" s="16" t="s">
        <v>72</v>
      </c>
      <c r="M41" s="16" t="s">
        <v>20</v>
      </c>
      <c r="N41" s="16" t="s">
        <v>117</v>
      </c>
    </row>
    <row r="42" customFormat="false" ht="23.25" hidden="false" customHeight="true" outlineLevel="0" collapsed="false">
      <c r="A42" s="16" t="n">
        <v>38</v>
      </c>
      <c r="B42" s="16" t="s">
        <v>228</v>
      </c>
      <c r="C42" s="16"/>
      <c r="D42" s="16"/>
      <c r="E42" s="16" t="s">
        <v>77</v>
      </c>
      <c r="F42" s="16" t="s">
        <v>78</v>
      </c>
      <c r="G42" s="16" t="s">
        <v>72</v>
      </c>
      <c r="H42" s="16"/>
      <c r="I42" s="16"/>
      <c r="J42" s="16" t="s">
        <v>72</v>
      </c>
      <c r="K42" s="16" t="s">
        <v>72</v>
      </c>
      <c r="L42" s="16" t="s">
        <v>72</v>
      </c>
      <c r="M42" s="16" t="s">
        <v>20</v>
      </c>
      <c r="N42" s="16" t="s">
        <v>117</v>
      </c>
    </row>
    <row r="43" customFormat="false" ht="23.25" hidden="false" customHeight="true" outlineLevel="0" collapsed="false">
      <c r="A43" s="16" t="n">
        <v>39</v>
      </c>
      <c r="B43" s="16" t="s">
        <v>232</v>
      </c>
      <c r="C43" s="16"/>
      <c r="D43" s="16"/>
      <c r="E43" s="16" t="s">
        <v>77</v>
      </c>
      <c r="F43" s="16" t="s">
        <v>78</v>
      </c>
      <c r="G43" s="16" t="s">
        <v>72</v>
      </c>
      <c r="H43" s="16"/>
      <c r="I43" s="16"/>
      <c r="J43" s="16" t="s">
        <v>72</v>
      </c>
      <c r="K43" s="16" t="s">
        <v>72</v>
      </c>
      <c r="L43" s="16" t="s">
        <v>72</v>
      </c>
      <c r="M43" s="16" t="s">
        <v>20</v>
      </c>
      <c r="N43" s="16" t="s">
        <v>117</v>
      </c>
    </row>
    <row r="44" customFormat="false" ht="57" hidden="false" customHeight="true" outlineLevel="0" collapsed="false">
      <c r="A44" s="16" t="n">
        <v>40</v>
      </c>
      <c r="B44" s="16" t="s">
        <v>236</v>
      </c>
      <c r="C44" s="16" t="s">
        <v>1005</v>
      </c>
      <c r="D44" s="16" t="s">
        <v>1006</v>
      </c>
      <c r="E44" s="16" t="s">
        <v>240</v>
      </c>
      <c r="F44" s="16" t="s">
        <v>78</v>
      </c>
      <c r="G44" s="16" t="s">
        <v>72</v>
      </c>
      <c r="H44" s="16"/>
      <c r="I44" s="16"/>
      <c r="J44" s="16" t="s">
        <v>72</v>
      </c>
      <c r="K44" s="16" t="s">
        <v>72</v>
      </c>
      <c r="L44" s="16" t="s">
        <v>72</v>
      </c>
      <c r="M44" s="16" t="s">
        <v>20</v>
      </c>
      <c r="N44" s="16" t="s">
        <v>242</v>
      </c>
    </row>
    <row r="45" customFormat="false" ht="34.5" hidden="false" customHeight="true" outlineLevel="0" collapsed="false">
      <c r="A45" s="16" t="n">
        <v>41</v>
      </c>
      <c r="B45" s="16" t="s">
        <v>243</v>
      </c>
      <c r="C45" s="16" t="s">
        <v>910</v>
      </c>
      <c r="D45" s="16" t="s">
        <v>911</v>
      </c>
      <c r="E45" s="16" t="s">
        <v>77</v>
      </c>
      <c r="F45" s="16" t="s">
        <v>492</v>
      </c>
      <c r="G45" s="16" t="s">
        <v>72</v>
      </c>
      <c r="H45" s="16"/>
      <c r="I45" s="16"/>
      <c r="J45" s="16" t="s">
        <v>72</v>
      </c>
      <c r="K45" s="16" t="s">
        <v>72</v>
      </c>
      <c r="L45" s="16" t="s">
        <v>72</v>
      </c>
      <c r="M45" s="16" t="s">
        <v>20</v>
      </c>
      <c r="N45" s="16" t="s">
        <v>1744</v>
      </c>
    </row>
    <row r="46" customFormat="false" ht="23.25" hidden="false" customHeight="true" outlineLevel="0" collapsed="false">
      <c r="A46" s="16" t="n">
        <v>42</v>
      </c>
      <c r="B46" s="16" t="s">
        <v>290</v>
      </c>
      <c r="C46" s="16" t="s">
        <v>1216</v>
      </c>
      <c r="D46" s="16" t="s">
        <v>1217</v>
      </c>
      <c r="E46" s="16" t="s">
        <v>77</v>
      </c>
      <c r="F46" s="16" t="s">
        <v>78</v>
      </c>
      <c r="G46" s="16" t="s">
        <v>72</v>
      </c>
      <c r="H46" s="16"/>
      <c r="I46" s="16"/>
      <c r="J46" s="16" t="s">
        <v>72</v>
      </c>
      <c r="K46" s="16" t="s">
        <v>72</v>
      </c>
      <c r="L46" s="16" t="s">
        <v>72</v>
      </c>
      <c r="M46" s="16" t="s">
        <v>20</v>
      </c>
      <c r="N46" s="16" t="s">
        <v>1492</v>
      </c>
    </row>
    <row r="47" customFormat="false" ht="23.25" hidden="false" customHeight="true" outlineLevel="0" collapsed="false">
      <c r="A47" s="16" t="n">
        <v>43</v>
      </c>
      <c r="B47" s="16" t="s">
        <v>296</v>
      </c>
      <c r="C47" s="16" t="s">
        <v>1220</v>
      </c>
      <c r="D47" s="16" t="s">
        <v>1180</v>
      </c>
      <c r="E47" s="16" t="s">
        <v>77</v>
      </c>
      <c r="F47" s="16" t="s">
        <v>78</v>
      </c>
      <c r="G47" s="16" t="s">
        <v>72</v>
      </c>
      <c r="H47" s="16"/>
      <c r="I47" s="16"/>
      <c r="J47" s="16" t="s">
        <v>72</v>
      </c>
      <c r="K47" s="16" t="s">
        <v>72</v>
      </c>
      <c r="L47" s="16" t="s">
        <v>72</v>
      </c>
      <c r="M47" s="16" t="s">
        <v>20</v>
      </c>
      <c r="N47" s="16" t="s">
        <v>1492</v>
      </c>
    </row>
    <row r="48" customFormat="false" ht="23.25" hidden="false" customHeight="true" outlineLevel="0" collapsed="false">
      <c r="A48" s="16" t="n">
        <v>44</v>
      </c>
      <c r="B48" s="16" t="s">
        <v>299</v>
      </c>
      <c r="C48" s="16" t="s">
        <v>1276</v>
      </c>
      <c r="D48" s="16" t="s">
        <v>1277</v>
      </c>
      <c r="E48" s="16" t="s">
        <v>77</v>
      </c>
      <c r="F48" s="16" t="s">
        <v>78</v>
      </c>
      <c r="G48" s="16" t="s">
        <v>72</v>
      </c>
      <c r="H48" s="16"/>
      <c r="I48" s="16"/>
      <c r="J48" s="16" t="s">
        <v>72</v>
      </c>
      <c r="K48" s="16" t="s">
        <v>72</v>
      </c>
      <c r="L48" s="16" t="s">
        <v>72</v>
      </c>
      <c r="M48" s="16" t="s">
        <v>20</v>
      </c>
      <c r="N48" s="16" t="s">
        <v>1492</v>
      </c>
    </row>
    <row r="49" customFormat="false" ht="57" hidden="false" customHeight="true" outlineLevel="0" collapsed="false">
      <c r="A49" s="16" t="n">
        <v>45</v>
      </c>
      <c r="B49" s="16" t="s">
        <v>302</v>
      </c>
      <c r="C49" s="16"/>
      <c r="D49" s="16"/>
      <c r="E49" s="16" t="s">
        <v>77</v>
      </c>
      <c r="F49" s="16" t="s">
        <v>78</v>
      </c>
      <c r="G49" s="16" t="s">
        <v>72</v>
      </c>
      <c r="H49" s="16"/>
      <c r="I49" s="16"/>
      <c r="J49" s="16" t="s">
        <v>72</v>
      </c>
      <c r="K49" s="16" t="s">
        <v>72</v>
      </c>
      <c r="L49" s="16" t="s">
        <v>72</v>
      </c>
      <c r="M49" s="16" t="s">
        <v>20</v>
      </c>
      <c r="N49" s="16" t="s">
        <v>1496</v>
      </c>
    </row>
    <row r="50" customFormat="false" ht="102" hidden="false" customHeight="true" outlineLevel="0" collapsed="false">
      <c r="A50" s="16" t="n">
        <v>46</v>
      </c>
      <c r="B50" s="16" t="s">
        <v>308</v>
      </c>
      <c r="C50" s="16"/>
      <c r="D50" s="16"/>
      <c r="E50" s="16" t="s">
        <v>240</v>
      </c>
      <c r="F50" s="16" t="s">
        <v>78</v>
      </c>
      <c r="G50" s="16" t="s">
        <v>72</v>
      </c>
      <c r="H50" s="16"/>
      <c r="I50" s="16"/>
      <c r="J50" s="16" t="s">
        <v>72</v>
      </c>
      <c r="K50" s="16" t="s">
        <v>72</v>
      </c>
      <c r="L50" s="16" t="s">
        <v>72</v>
      </c>
      <c r="M50" s="16" t="s">
        <v>20</v>
      </c>
      <c r="N50" s="16" t="s">
        <v>1745</v>
      </c>
    </row>
    <row r="51" customFormat="false" ht="68.25" hidden="false" customHeight="true" outlineLevel="0" collapsed="false">
      <c r="A51" s="16" t="n">
        <v>47</v>
      </c>
      <c r="B51" s="16" t="s">
        <v>314</v>
      </c>
      <c r="C51" s="16" t="s">
        <v>1280</v>
      </c>
      <c r="D51" s="16" t="s">
        <v>1281</v>
      </c>
      <c r="E51" s="16" t="s">
        <v>77</v>
      </c>
      <c r="F51" s="16" t="s">
        <v>78</v>
      </c>
      <c r="G51" s="16" t="s">
        <v>72</v>
      </c>
      <c r="H51" s="16"/>
      <c r="I51" s="16"/>
      <c r="J51" s="16" t="s">
        <v>72</v>
      </c>
      <c r="K51" s="16" t="s">
        <v>72</v>
      </c>
      <c r="L51" s="16" t="s">
        <v>72</v>
      </c>
      <c r="M51" s="16" t="s">
        <v>105</v>
      </c>
      <c r="N51" s="16" t="s">
        <v>1500</v>
      </c>
    </row>
    <row r="52" customFormat="false" ht="68.25" hidden="false" customHeight="true" outlineLevel="0" collapsed="false">
      <c r="A52" s="16" t="n">
        <v>48</v>
      </c>
      <c r="B52" s="16" t="s">
        <v>320</v>
      </c>
      <c r="C52" s="16"/>
      <c r="D52" s="16"/>
      <c r="E52" s="16" t="s">
        <v>77</v>
      </c>
      <c r="F52" s="16" t="s">
        <v>78</v>
      </c>
      <c r="G52" s="16" t="s">
        <v>72</v>
      </c>
      <c r="H52" s="16"/>
      <c r="I52" s="16"/>
      <c r="J52" s="16" t="s">
        <v>72</v>
      </c>
      <c r="K52" s="16" t="s">
        <v>72</v>
      </c>
      <c r="L52" s="16" t="s">
        <v>72</v>
      </c>
      <c r="M52" s="16" t="s">
        <v>20</v>
      </c>
      <c r="N52" s="16" t="s">
        <v>1502</v>
      </c>
    </row>
    <row r="53" customFormat="false" ht="23.25" hidden="false" customHeight="true" outlineLevel="0" collapsed="false">
      <c r="A53" s="16" t="n">
        <v>49</v>
      </c>
      <c r="B53" s="16" t="s">
        <v>326</v>
      </c>
      <c r="C53" s="16" t="s">
        <v>1054</v>
      </c>
      <c r="D53" s="16" t="s">
        <v>1055</v>
      </c>
      <c r="E53" s="16" t="s">
        <v>77</v>
      </c>
      <c r="F53" s="16" t="s">
        <v>331</v>
      </c>
      <c r="G53" s="16" t="s">
        <v>72</v>
      </c>
      <c r="H53" s="16"/>
      <c r="I53" s="16"/>
      <c r="J53" s="16" t="s">
        <v>72</v>
      </c>
      <c r="K53" s="16" t="s">
        <v>72</v>
      </c>
      <c r="L53" s="16" t="s">
        <v>72</v>
      </c>
      <c r="M53" s="16" t="s">
        <v>20</v>
      </c>
      <c r="N53" s="16"/>
    </row>
    <row r="54" customFormat="false" ht="57" hidden="false" customHeight="true" outlineLevel="0" collapsed="false">
      <c r="A54" s="16" t="n">
        <v>50</v>
      </c>
      <c r="B54" s="16" t="s">
        <v>332</v>
      </c>
      <c r="C54" s="16"/>
      <c r="D54" s="16"/>
      <c r="E54" s="16" t="s">
        <v>77</v>
      </c>
      <c r="F54" s="16" t="s">
        <v>331</v>
      </c>
      <c r="G54" s="16" t="s">
        <v>72</v>
      </c>
      <c r="H54" s="16"/>
      <c r="I54" s="16"/>
      <c r="J54" s="16" t="s">
        <v>72</v>
      </c>
      <c r="K54" s="16" t="s">
        <v>72</v>
      </c>
      <c r="L54" s="16" t="s">
        <v>72</v>
      </c>
      <c r="M54" s="16" t="s">
        <v>105</v>
      </c>
      <c r="N54" s="16" t="s">
        <v>1505</v>
      </c>
    </row>
    <row r="55" customFormat="false" ht="15" hidden="false" customHeight="true" outlineLevel="0" collapsed="false">
      <c r="A55" s="16" t="n">
        <v>51</v>
      </c>
      <c r="B55" s="16" t="s">
        <v>336</v>
      </c>
      <c r="C55" s="16"/>
      <c r="D55" s="16"/>
      <c r="E55" s="16" t="s">
        <v>77</v>
      </c>
      <c r="F55" s="16" t="s">
        <v>331</v>
      </c>
      <c r="G55" s="16" t="s">
        <v>72</v>
      </c>
      <c r="H55" s="16"/>
      <c r="I55" s="16"/>
      <c r="J55" s="16" t="s">
        <v>72</v>
      </c>
      <c r="K55" s="16" t="s">
        <v>72</v>
      </c>
      <c r="L55" s="16" t="s">
        <v>72</v>
      </c>
      <c r="M55" s="16" t="s">
        <v>20</v>
      </c>
      <c r="N55" s="16"/>
    </row>
    <row r="56" customFormat="false" ht="15" hidden="false" customHeight="true" outlineLevel="0" collapsed="false">
      <c r="A56" s="16" t="n">
        <v>52</v>
      </c>
      <c r="B56" s="16" t="s">
        <v>339</v>
      </c>
      <c r="C56" s="16"/>
      <c r="D56" s="16"/>
      <c r="E56" s="16" t="s">
        <v>77</v>
      </c>
      <c r="F56" s="16" t="s">
        <v>331</v>
      </c>
      <c r="G56" s="16" t="s">
        <v>72</v>
      </c>
      <c r="H56" s="16"/>
      <c r="I56" s="16"/>
      <c r="J56" s="16" t="s">
        <v>72</v>
      </c>
      <c r="K56" s="16" t="s">
        <v>72</v>
      </c>
      <c r="L56" s="16" t="s">
        <v>72</v>
      </c>
      <c r="M56" s="16" t="s">
        <v>20</v>
      </c>
      <c r="N56" s="16"/>
    </row>
    <row r="57" customFormat="false" ht="15" hidden="false" customHeight="true" outlineLevel="0" collapsed="false">
      <c r="A57" s="16" t="n">
        <v>53</v>
      </c>
      <c r="B57" s="16" t="s">
        <v>342</v>
      </c>
      <c r="C57" s="16"/>
      <c r="D57" s="16"/>
      <c r="E57" s="16" t="s">
        <v>77</v>
      </c>
      <c r="F57" s="16" t="s">
        <v>331</v>
      </c>
      <c r="G57" s="16" t="s">
        <v>72</v>
      </c>
      <c r="H57" s="16"/>
      <c r="I57" s="16"/>
      <c r="J57" s="16" t="s">
        <v>72</v>
      </c>
      <c r="K57" s="16" t="s">
        <v>72</v>
      </c>
      <c r="L57" s="16" t="s">
        <v>72</v>
      </c>
      <c r="M57" s="16" t="s">
        <v>20</v>
      </c>
      <c r="N57" s="16"/>
    </row>
    <row r="58" customFormat="false" ht="23.25" hidden="false" customHeight="true" outlineLevel="0" collapsed="false">
      <c r="A58" s="16" t="n">
        <v>54</v>
      </c>
      <c r="B58" s="16" t="s">
        <v>345</v>
      </c>
      <c r="C58" s="16"/>
      <c r="D58" s="16"/>
      <c r="E58" s="16" t="s">
        <v>77</v>
      </c>
      <c r="F58" s="16" t="s">
        <v>331</v>
      </c>
      <c r="G58" s="16" t="s">
        <v>72</v>
      </c>
      <c r="H58" s="16"/>
      <c r="I58" s="16"/>
      <c r="J58" s="16" t="s">
        <v>72</v>
      </c>
      <c r="K58" s="16" t="s">
        <v>72</v>
      </c>
      <c r="L58" s="16" t="s">
        <v>72</v>
      </c>
      <c r="M58" s="16" t="s">
        <v>20</v>
      </c>
      <c r="N58" s="16"/>
    </row>
    <row r="59" customFormat="false" ht="34.5" hidden="false" customHeight="true" outlineLevel="0" collapsed="false">
      <c r="A59" s="16" t="n">
        <v>55</v>
      </c>
      <c r="B59" s="16" t="s">
        <v>361</v>
      </c>
      <c r="C59" s="16"/>
      <c r="D59" s="16"/>
      <c r="E59" s="16" t="s">
        <v>77</v>
      </c>
      <c r="F59" s="16" t="s">
        <v>331</v>
      </c>
      <c r="G59" s="16" t="s">
        <v>72</v>
      </c>
      <c r="H59" s="16"/>
      <c r="I59" s="16"/>
      <c r="J59" s="16" t="s">
        <v>72</v>
      </c>
      <c r="K59" s="16" t="s">
        <v>72</v>
      </c>
      <c r="L59" s="16" t="s">
        <v>72</v>
      </c>
      <c r="M59" s="16" t="s">
        <v>20</v>
      </c>
      <c r="N59" s="16" t="s">
        <v>1515</v>
      </c>
    </row>
    <row r="60" customFormat="false" ht="34.5" hidden="false" customHeight="true" outlineLevel="0" collapsed="false">
      <c r="A60" s="16" t="n">
        <v>56</v>
      </c>
      <c r="B60" s="16" t="s">
        <v>365</v>
      </c>
      <c r="C60" s="16"/>
      <c r="D60" s="16"/>
      <c r="E60" s="16" t="s">
        <v>77</v>
      </c>
      <c r="F60" s="16" t="s">
        <v>331</v>
      </c>
      <c r="G60" s="16" t="s">
        <v>72</v>
      </c>
      <c r="H60" s="16"/>
      <c r="I60" s="16"/>
      <c r="J60" s="16" t="s">
        <v>72</v>
      </c>
      <c r="K60" s="16" t="s">
        <v>72</v>
      </c>
      <c r="L60" s="16" t="s">
        <v>72</v>
      </c>
      <c r="M60" s="16" t="s">
        <v>20</v>
      </c>
      <c r="N60" s="16" t="s">
        <v>1515</v>
      </c>
    </row>
    <row r="61" customFormat="false" ht="34.5" hidden="false" customHeight="true" outlineLevel="0" collapsed="false">
      <c r="A61" s="16" t="n">
        <v>57</v>
      </c>
      <c r="B61" s="16" t="s">
        <v>368</v>
      </c>
      <c r="C61" s="16"/>
      <c r="D61" s="16"/>
      <c r="E61" s="16" t="s">
        <v>77</v>
      </c>
      <c r="F61" s="16" t="s">
        <v>492</v>
      </c>
      <c r="G61" s="16" t="s">
        <v>72</v>
      </c>
      <c r="H61" s="16"/>
      <c r="I61" s="16"/>
      <c r="J61" s="16" t="s">
        <v>72</v>
      </c>
      <c r="K61" s="16" t="s">
        <v>72</v>
      </c>
      <c r="L61" s="16" t="s">
        <v>72</v>
      </c>
      <c r="M61" s="16" t="s">
        <v>20</v>
      </c>
      <c r="N61" s="16" t="s">
        <v>1518</v>
      </c>
    </row>
    <row r="62" customFormat="false" ht="23.25" hidden="false" customHeight="true" outlineLevel="0" collapsed="false">
      <c r="A62" s="16" t="n">
        <v>58</v>
      </c>
      <c r="B62" s="16" t="s">
        <v>374</v>
      </c>
      <c r="C62" s="16"/>
      <c r="D62" s="16"/>
      <c r="E62" s="16" t="s">
        <v>77</v>
      </c>
      <c r="F62" s="16" t="s">
        <v>492</v>
      </c>
      <c r="G62" s="16" t="s">
        <v>72</v>
      </c>
      <c r="H62" s="16"/>
      <c r="I62" s="16"/>
      <c r="J62" s="16" t="s">
        <v>72</v>
      </c>
      <c r="K62" s="16" t="s">
        <v>72</v>
      </c>
      <c r="L62" s="16" t="s">
        <v>72</v>
      </c>
      <c r="M62" s="16" t="s">
        <v>20</v>
      </c>
      <c r="N62" s="16" t="s">
        <v>1520</v>
      </c>
    </row>
    <row r="63" customFormat="false" ht="23.25" hidden="false" customHeight="true" outlineLevel="0" collapsed="false">
      <c r="A63" s="16" t="n">
        <v>59</v>
      </c>
      <c r="B63" s="16" t="s">
        <v>378</v>
      </c>
      <c r="C63" s="16"/>
      <c r="D63" s="16"/>
      <c r="E63" s="16" t="s">
        <v>77</v>
      </c>
      <c r="F63" s="16" t="s">
        <v>492</v>
      </c>
      <c r="G63" s="16" t="s">
        <v>72</v>
      </c>
      <c r="H63" s="16"/>
      <c r="I63" s="16"/>
      <c r="J63" s="16" t="s">
        <v>72</v>
      </c>
      <c r="K63" s="16" t="s">
        <v>72</v>
      </c>
      <c r="L63" s="16" t="s">
        <v>72</v>
      </c>
      <c r="M63" s="16" t="s">
        <v>20</v>
      </c>
      <c r="N63" s="16" t="s">
        <v>1522</v>
      </c>
    </row>
    <row r="64" customFormat="false" ht="23.25" hidden="false" customHeight="true" outlineLevel="0" collapsed="false">
      <c r="A64" s="16" t="n">
        <v>60</v>
      </c>
      <c r="B64" s="16" t="s">
        <v>382</v>
      </c>
      <c r="C64" s="16"/>
      <c r="D64" s="16"/>
      <c r="E64" s="16" t="s">
        <v>77</v>
      </c>
      <c r="F64" s="16" t="s">
        <v>492</v>
      </c>
      <c r="G64" s="16" t="s">
        <v>72</v>
      </c>
      <c r="H64" s="16"/>
      <c r="I64" s="16"/>
      <c r="J64" s="16" t="s">
        <v>72</v>
      </c>
      <c r="K64" s="16" t="s">
        <v>72</v>
      </c>
      <c r="L64" s="16" t="s">
        <v>72</v>
      </c>
      <c r="M64" s="16" t="s">
        <v>20</v>
      </c>
      <c r="N64" s="16" t="s">
        <v>1524</v>
      </c>
    </row>
    <row r="65" customFormat="false" ht="23.25" hidden="false" customHeight="true" outlineLevel="0" collapsed="false">
      <c r="A65" s="16" t="n">
        <v>61</v>
      </c>
      <c r="B65" s="16" t="s">
        <v>387</v>
      </c>
      <c r="C65" s="16"/>
      <c r="D65" s="16"/>
      <c r="E65" s="16" t="s">
        <v>240</v>
      </c>
      <c r="F65" s="16" t="s">
        <v>492</v>
      </c>
      <c r="G65" s="16" t="s">
        <v>72</v>
      </c>
      <c r="H65" s="16"/>
      <c r="I65" s="16"/>
      <c r="J65" s="16" t="s">
        <v>72</v>
      </c>
      <c r="K65" s="16" t="s">
        <v>72</v>
      </c>
      <c r="L65" s="16" t="s">
        <v>72</v>
      </c>
      <c r="M65" s="16" t="s">
        <v>1489</v>
      </c>
      <c r="N65" s="16" t="s">
        <v>1746</v>
      </c>
    </row>
    <row r="66" customFormat="false" ht="34.5" hidden="false" customHeight="true" outlineLevel="0" collapsed="false">
      <c r="A66" s="16" t="n">
        <v>62</v>
      </c>
      <c r="B66" s="16" t="s">
        <v>393</v>
      </c>
      <c r="C66" s="16"/>
      <c r="D66" s="16"/>
      <c r="E66" s="16" t="s">
        <v>77</v>
      </c>
      <c r="F66" s="16" t="s">
        <v>492</v>
      </c>
      <c r="G66" s="16" t="s">
        <v>72</v>
      </c>
      <c r="H66" s="16"/>
      <c r="I66" s="16"/>
      <c r="J66" s="16" t="s">
        <v>72</v>
      </c>
      <c r="K66" s="16" t="s">
        <v>72</v>
      </c>
      <c r="L66" s="16" t="s">
        <v>72</v>
      </c>
      <c r="M66" s="16" t="s">
        <v>20</v>
      </c>
      <c r="N66" s="16" t="s">
        <v>1528</v>
      </c>
    </row>
    <row r="67" customFormat="false" ht="34.5" hidden="false" customHeight="true" outlineLevel="0" collapsed="false">
      <c r="A67" s="16" t="n">
        <v>63</v>
      </c>
      <c r="B67" s="16" t="s">
        <v>397</v>
      </c>
      <c r="C67" s="16"/>
      <c r="D67" s="16"/>
      <c r="E67" s="16" t="s">
        <v>77</v>
      </c>
      <c r="F67" s="16" t="s">
        <v>492</v>
      </c>
      <c r="G67" s="16" t="s">
        <v>72</v>
      </c>
      <c r="H67" s="16"/>
      <c r="I67" s="16"/>
      <c r="J67" s="16" t="s">
        <v>72</v>
      </c>
      <c r="K67" s="16" t="s">
        <v>72</v>
      </c>
      <c r="L67" s="16" t="s">
        <v>72</v>
      </c>
      <c r="M67" s="16" t="s">
        <v>20</v>
      </c>
      <c r="N67" s="16" t="s">
        <v>1530</v>
      </c>
    </row>
    <row r="68" customFormat="false" ht="79.5" hidden="false" customHeight="true" outlineLevel="0" collapsed="false">
      <c r="A68" s="16" t="n">
        <v>64</v>
      </c>
      <c r="B68" s="16" t="s">
        <v>401</v>
      </c>
      <c r="C68" s="16"/>
      <c r="D68" s="16"/>
      <c r="E68" s="16" t="s">
        <v>77</v>
      </c>
      <c r="F68" s="16" t="s">
        <v>492</v>
      </c>
      <c r="G68" s="16" t="s">
        <v>72</v>
      </c>
      <c r="H68" s="16"/>
      <c r="I68" s="16"/>
      <c r="J68" s="16" t="s">
        <v>72</v>
      </c>
      <c r="K68" s="16" t="s">
        <v>72</v>
      </c>
      <c r="L68" s="16" t="s">
        <v>72</v>
      </c>
      <c r="M68" s="16" t="s">
        <v>20</v>
      </c>
      <c r="N68" s="16" t="s">
        <v>1532</v>
      </c>
    </row>
    <row r="69" customFormat="false" ht="90.75" hidden="false" customHeight="true" outlineLevel="0" collapsed="false">
      <c r="A69" s="16" t="n">
        <v>65</v>
      </c>
      <c r="B69" s="16" t="s">
        <v>414</v>
      </c>
      <c r="C69" s="16"/>
      <c r="D69" s="16"/>
      <c r="E69" s="16" t="s">
        <v>77</v>
      </c>
      <c r="F69" s="16" t="s">
        <v>492</v>
      </c>
      <c r="G69" s="16" t="s">
        <v>72</v>
      </c>
      <c r="H69" s="16"/>
      <c r="I69" s="16"/>
      <c r="J69" s="16" t="s">
        <v>72</v>
      </c>
      <c r="K69" s="16" t="s">
        <v>72</v>
      </c>
      <c r="L69" s="16" t="s">
        <v>72</v>
      </c>
      <c r="M69" s="16" t="s">
        <v>20</v>
      </c>
      <c r="N69" s="16" t="s">
        <v>1538</v>
      </c>
    </row>
    <row r="70" customFormat="false" ht="90.75" hidden="false" customHeight="true" outlineLevel="0" collapsed="false">
      <c r="A70" s="16" t="n">
        <v>66</v>
      </c>
      <c r="B70" s="16" t="s">
        <v>420</v>
      </c>
      <c r="C70" s="16"/>
      <c r="D70" s="16"/>
      <c r="E70" s="16" t="s">
        <v>77</v>
      </c>
      <c r="F70" s="16" t="s">
        <v>492</v>
      </c>
      <c r="G70" s="16" t="s">
        <v>72</v>
      </c>
      <c r="H70" s="16"/>
      <c r="I70" s="16"/>
      <c r="J70" s="16" t="s">
        <v>72</v>
      </c>
      <c r="K70" s="16" t="s">
        <v>72</v>
      </c>
      <c r="L70" s="16" t="s">
        <v>72</v>
      </c>
      <c r="M70" s="16" t="s">
        <v>20</v>
      </c>
      <c r="N70" s="16" t="s">
        <v>1540</v>
      </c>
    </row>
    <row r="71" customFormat="false" ht="23.25" hidden="false" customHeight="true" outlineLevel="0" collapsed="false">
      <c r="A71" s="16" t="n">
        <v>67</v>
      </c>
      <c r="B71" s="16" t="s">
        <v>438</v>
      </c>
      <c r="C71" s="16"/>
      <c r="D71" s="16"/>
      <c r="E71" s="16" t="s">
        <v>77</v>
      </c>
      <c r="F71" s="16" t="s">
        <v>492</v>
      </c>
      <c r="G71" s="16" t="s">
        <v>72</v>
      </c>
      <c r="H71" s="16"/>
      <c r="I71" s="16"/>
      <c r="J71" s="16" t="s">
        <v>72</v>
      </c>
      <c r="K71" s="16" t="s">
        <v>72</v>
      </c>
      <c r="L71" s="16" t="s">
        <v>72</v>
      </c>
      <c r="M71" s="16" t="s">
        <v>20</v>
      </c>
      <c r="N71" s="16" t="s">
        <v>1546</v>
      </c>
    </row>
    <row r="72" customFormat="false" ht="34.5" hidden="false" customHeight="true" outlineLevel="0" collapsed="false">
      <c r="A72" s="16" t="n">
        <v>68</v>
      </c>
      <c r="B72" s="16" t="s">
        <v>443</v>
      </c>
      <c r="C72" s="16"/>
      <c r="D72" s="16"/>
      <c r="E72" s="16" t="s">
        <v>77</v>
      </c>
      <c r="F72" s="16" t="s">
        <v>492</v>
      </c>
      <c r="G72" s="16" t="s">
        <v>72</v>
      </c>
      <c r="H72" s="16"/>
      <c r="I72" s="16"/>
      <c r="J72" s="16" t="s">
        <v>72</v>
      </c>
      <c r="K72" s="16" t="s">
        <v>72</v>
      </c>
      <c r="L72" s="16" t="s">
        <v>72</v>
      </c>
      <c r="M72" s="16" t="s">
        <v>20</v>
      </c>
      <c r="N72" s="16" t="s">
        <v>1548</v>
      </c>
    </row>
    <row r="73" customFormat="false" ht="34.5" hidden="false" customHeight="true" outlineLevel="0" collapsed="false">
      <c r="A73" s="16" t="n">
        <v>69</v>
      </c>
      <c r="B73" s="16" t="s">
        <v>447</v>
      </c>
      <c r="C73" s="16"/>
      <c r="D73" s="16"/>
      <c r="E73" s="16" t="s">
        <v>77</v>
      </c>
      <c r="F73" s="16" t="s">
        <v>492</v>
      </c>
      <c r="G73" s="16" t="s">
        <v>72</v>
      </c>
      <c r="H73" s="16"/>
      <c r="I73" s="16"/>
      <c r="J73" s="16" t="s">
        <v>72</v>
      </c>
      <c r="K73" s="16" t="s">
        <v>72</v>
      </c>
      <c r="L73" s="16" t="s">
        <v>72</v>
      </c>
      <c r="M73" s="16" t="s">
        <v>20</v>
      </c>
      <c r="N73" s="16" t="s">
        <v>1550</v>
      </c>
    </row>
    <row r="74" customFormat="false" ht="23.25" hidden="false" customHeight="true" outlineLevel="0" collapsed="false">
      <c r="A74" s="16" t="n">
        <v>70</v>
      </c>
      <c r="B74" s="16" t="s">
        <v>451</v>
      </c>
      <c r="C74" s="16"/>
      <c r="D74" s="16"/>
      <c r="E74" s="16" t="s">
        <v>77</v>
      </c>
      <c r="F74" s="16" t="s">
        <v>492</v>
      </c>
      <c r="G74" s="16" t="s">
        <v>72</v>
      </c>
      <c r="H74" s="16"/>
      <c r="I74" s="16"/>
      <c r="J74" s="16" t="s">
        <v>72</v>
      </c>
      <c r="K74" s="16" t="s">
        <v>72</v>
      </c>
      <c r="L74" s="16" t="s">
        <v>72</v>
      </c>
      <c r="M74" s="16" t="s">
        <v>20</v>
      </c>
      <c r="N74" s="16" t="s">
        <v>1552</v>
      </c>
    </row>
    <row r="75" customFormat="false" ht="23.25" hidden="false" customHeight="true" outlineLevel="0" collapsed="false">
      <c r="A75" s="16" t="n">
        <v>71</v>
      </c>
      <c r="B75" s="16" t="s">
        <v>456</v>
      </c>
      <c r="C75" s="16"/>
      <c r="D75" s="16"/>
      <c r="E75" s="16" t="s">
        <v>77</v>
      </c>
      <c r="F75" s="16" t="s">
        <v>492</v>
      </c>
      <c r="G75" s="16" t="s">
        <v>72</v>
      </c>
      <c r="H75" s="16"/>
      <c r="I75" s="16"/>
      <c r="J75" s="16" t="s">
        <v>72</v>
      </c>
      <c r="K75" s="16" t="s">
        <v>72</v>
      </c>
      <c r="L75" s="16" t="s">
        <v>72</v>
      </c>
      <c r="M75" s="16" t="s">
        <v>20</v>
      </c>
      <c r="N75" s="16" t="s">
        <v>1554</v>
      </c>
    </row>
    <row r="76" customFormat="false" ht="34.5" hidden="false" customHeight="true" outlineLevel="0" collapsed="false">
      <c r="A76" s="16" t="n">
        <v>72</v>
      </c>
      <c r="B76" s="16" t="s">
        <v>460</v>
      </c>
      <c r="C76" s="16"/>
      <c r="D76" s="16"/>
      <c r="E76" s="16" t="s">
        <v>77</v>
      </c>
      <c r="F76" s="16" t="s">
        <v>492</v>
      </c>
      <c r="G76" s="16" t="s">
        <v>72</v>
      </c>
      <c r="H76" s="16"/>
      <c r="I76" s="16"/>
      <c r="J76" s="16" t="s">
        <v>72</v>
      </c>
      <c r="K76" s="16" t="s">
        <v>72</v>
      </c>
      <c r="L76" s="16" t="s">
        <v>72</v>
      </c>
      <c r="M76" s="16" t="s">
        <v>20</v>
      </c>
      <c r="N76" s="16" t="s">
        <v>1556</v>
      </c>
    </row>
    <row r="77" customFormat="false" ht="23.25" hidden="false" customHeight="true" outlineLevel="0" collapsed="false">
      <c r="A77" s="16" t="n">
        <v>73</v>
      </c>
      <c r="B77" s="16" t="s">
        <v>465</v>
      </c>
      <c r="C77" s="16"/>
      <c r="D77" s="16"/>
      <c r="E77" s="16" t="s">
        <v>240</v>
      </c>
      <c r="F77" s="16" t="s">
        <v>492</v>
      </c>
      <c r="G77" s="16" t="s">
        <v>72</v>
      </c>
      <c r="H77" s="16"/>
      <c r="I77" s="16"/>
      <c r="J77" s="16" t="s">
        <v>72</v>
      </c>
      <c r="K77" s="16" t="s">
        <v>72</v>
      </c>
      <c r="L77" s="16" t="s">
        <v>72</v>
      </c>
      <c r="M77" s="16" t="s">
        <v>1489</v>
      </c>
      <c r="N77" s="16" t="s">
        <v>1558</v>
      </c>
    </row>
    <row r="78" customFormat="false" ht="102" hidden="false" customHeight="true" outlineLevel="0" collapsed="false">
      <c r="A78" s="16" t="n">
        <v>74</v>
      </c>
      <c r="B78" s="16" t="s">
        <v>469</v>
      </c>
      <c r="C78" s="16"/>
      <c r="D78" s="16"/>
      <c r="E78" s="16" t="s">
        <v>240</v>
      </c>
      <c r="F78" s="16" t="s">
        <v>492</v>
      </c>
      <c r="G78" s="16" t="s">
        <v>71</v>
      </c>
      <c r="H78" s="16" t="s">
        <v>372</v>
      </c>
      <c r="I78" s="16" t="s">
        <v>1747</v>
      </c>
      <c r="J78" s="16" t="s">
        <v>72</v>
      </c>
      <c r="K78" s="16" t="s">
        <v>72</v>
      </c>
      <c r="L78" s="16" t="s">
        <v>72</v>
      </c>
      <c r="M78" s="16" t="s">
        <v>1748</v>
      </c>
      <c r="N78" s="16" t="s">
        <v>1749</v>
      </c>
    </row>
    <row r="79" customFormat="false" ht="23.25" hidden="false" customHeight="true" outlineLevel="0" collapsed="false">
      <c r="A79" s="16" t="n">
        <v>75</v>
      </c>
      <c r="B79" s="16" t="s">
        <v>474</v>
      </c>
      <c r="C79" s="16"/>
      <c r="D79" s="16"/>
      <c r="E79" s="16" t="s">
        <v>240</v>
      </c>
      <c r="F79" s="16" t="s">
        <v>492</v>
      </c>
      <c r="G79" s="16" t="s">
        <v>72</v>
      </c>
      <c r="H79" s="16"/>
      <c r="I79" s="16"/>
      <c r="J79" s="16" t="s">
        <v>72</v>
      </c>
      <c r="K79" s="16" t="s">
        <v>72</v>
      </c>
      <c r="L79" s="16" t="s">
        <v>72</v>
      </c>
      <c r="M79" s="16" t="s">
        <v>1489</v>
      </c>
      <c r="N79" s="16" t="s">
        <v>1562</v>
      </c>
    </row>
    <row r="80" customFormat="false" ht="23.25" hidden="false" customHeight="true" outlineLevel="0" collapsed="false">
      <c r="A80" s="16" t="n">
        <v>76</v>
      </c>
      <c r="B80" s="16" t="s">
        <v>478</v>
      </c>
      <c r="C80" s="16"/>
      <c r="D80" s="16"/>
      <c r="E80" s="16" t="s">
        <v>240</v>
      </c>
      <c r="F80" s="16" t="s">
        <v>492</v>
      </c>
      <c r="G80" s="16" t="s">
        <v>72</v>
      </c>
      <c r="H80" s="16"/>
      <c r="I80" s="16"/>
      <c r="J80" s="16" t="s">
        <v>72</v>
      </c>
      <c r="K80" s="16" t="s">
        <v>72</v>
      </c>
      <c r="L80" s="16" t="s">
        <v>72</v>
      </c>
      <c r="M80" s="16" t="s">
        <v>1489</v>
      </c>
      <c r="N80" s="16" t="s">
        <v>1564</v>
      </c>
    </row>
    <row r="81" customFormat="false" ht="23.25" hidden="false" customHeight="true" outlineLevel="0" collapsed="false">
      <c r="A81" s="16" t="n">
        <v>77</v>
      </c>
      <c r="B81" s="16" t="s">
        <v>483</v>
      </c>
      <c r="C81" s="16"/>
      <c r="D81" s="16"/>
      <c r="E81" s="16" t="s">
        <v>77</v>
      </c>
      <c r="F81" s="16" t="s">
        <v>492</v>
      </c>
      <c r="G81" s="16" t="s">
        <v>72</v>
      </c>
      <c r="H81" s="16"/>
      <c r="I81" s="16"/>
      <c r="J81" s="16" t="s">
        <v>72</v>
      </c>
      <c r="K81" s="16" t="s">
        <v>72</v>
      </c>
      <c r="L81" s="16" t="s">
        <v>72</v>
      </c>
      <c r="M81" s="16" t="s">
        <v>20</v>
      </c>
      <c r="N81" s="16" t="s">
        <v>1566</v>
      </c>
    </row>
    <row r="82" customFormat="false" ht="57" hidden="false" customHeight="true" outlineLevel="0" collapsed="false">
      <c r="A82" s="16" t="n">
        <v>78</v>
      </c>
      <c r="B82" s="16" t="s">
        <v>487</v>
      </c>
      <c r="C82" s="16"/>
      <c r="D82" s="16"/>
      <c r="E82" s="16" t="s">
        <v>77</v>
      </c>
      <c r="F82" s="16" t="s">
        <v>492</v>
      </c>
      <c r="G82" s="16" t="s">
        <v>72</v>
      </c>
      <c r="H82" s="16"/>
      <c r="I82" s="16"/>
      <c r="J82" s="16" t="s">
        <v>72</v>
      </c>
      <c r="K82" s="16" t="s">
        <v>72</v>
      </c>
      <c r="L82" s="16" t="s">
        <v>72</v>
      </c>
      <c r="M82" s="16" t="s">
        <v>20</v>
      </c>
      <c r="N82" s="16" t="s">
        <v>1568</v>
      </c>
    </row>
    <row r="83" customFormat="false" ht="34.5" hidden="false" customHeight="true" outlineLevel="0" collapsed="false">
      <c r="A83" s="16" t="n">
        <v>79</v>
      </c>
      <c r="B83" s="16" t="s">
        <v>243</v>
      </c>
      <c r="C83" s="16" t="s">
        <v>910</v>
      </c>
      <c r="D83" s="16" t="s">
        <v>911</v>
      </c>
      <c r="E83" s="16" t="s">
        <v>77</v>
      </c>
      <c r="F83" s="16" t="s">
        <v>492</v>
      </c>
      <c r="G83" s="16" t="s">
        <v>72</v>
      </c>
      <c r="H83" s="16"/>
      <c r="I83" s="16"/>
      <c r="J83" s="16" t="s">
        <v>72</v>
      </c>
      <c r="K83" s="16" t="s">
        <v>72</v>
      </c>
      <c r="L83" s="16" t="s">
        <v>72</v>
      </c>
      <c r="M83" s="16" t="s">
        <v>20</v>
      </c>
      <c r="N83" s="16" t="s">
        <v>1744</v>
      </c>
    </row>
    <row r="84" customFormat="false" ht="57" hidden="false" customHeight="true" outlineLevel="0" collapsed="false">
      <c r="A84" s="16" t="n">
        <v>80</v>
      </c>
      <c r="B84" s="16" t="s">
        <v>498</v>
      </c>
      <c r="C84" s="16" t="s">
        <v>918</v>
      </c>
      <c r="D84" s="16" t="s">
        <v>919</v>
      </c>
      <c r="E84" s="16" t="s">
        <v>77</v>
      </c>
      <c r="F84" s="16" t="s">
        <v>492</v>
      </c>
      <c r="G84" s="16" t="s">
        <v>72</v>
      </c>
      <c r="H84" s="16"/>
      <c r="I84" s="16"/>
      <c r="J84" s="16" t="s">
        <v>72</v>
      </c>
      <c r="K84" s="16" t="s">
        <v>72</v>
      </c>
      <c r="L84" s="16" t="s">
        <v>72</v>
      </c>
      <c r="M84" s="16" t="s">
        <v>105</v>
      </c>
      <c r="N84" s="16" t="s">
        <v>1572</v>
      </c>
    </row>
    <row r="85" customFormat="false" ht="45.75" hidden="false" customHeight="true" outlineLevel="0" collapsed="false">
      <c r="A85" s="16" t="n">
        <v>81</v>
      </c>
      <c r="B85" s="16" t="s">
        <v>502</v>
      </c>
      <c r="C85" s="16"/>
      <c r="D85" s="16"/>
      <c r="E85" s="16" t="s">
        <v>77</v>
      </c>
      <c r="F85" s="16" t="s">
        <v>492</v>
      </c>
      <c r="G85" s="16" t="s">
        <v>72</v>
      </c>
      <c r="H85" s="16"/>
      <c r="I85" s="16"/>
      <c r="J85" s="16" t="s">
        <v>72</v>
      </c>
      <c r="K85" s="16" t="s">
        <v>72</v>
      </c>
      <c r="L85" s="16" t="s">
        <v>72</v>
      </c>
      <c r="M85" s="16" t="s">
        <v>20</v>
      </c>
      <c r="N85" s="16" t="s">
        <v>1574</v>
      </c>
    </row>
    <row r="86" customFormat="false" ht="34.5" hidden="false" customHeight="true" outlineLevel="0" collapsed="false">
      <c r="A86" s="16" t="n">
        <v>82</v>
      </c>
      <c r="B86" s="16" t="s">
        <v>508</v>
      </c>
      <c r="C86" s="16"/>
      <c r="D86" s="16"/>
      <c r="E86" s="16" t="s">
        <v>77</v>
      </c>
      <c r="F86" s="16" t="s">
        <v>492</v>
      </c>
      <c r="G86" s="16" t="s">
        <v>72</v>
      </c>
      <c r="H86" s="16"/>
      <c r="I86" s="16"/>
      <c r="J86" s="16" t="s">
        <v>72</v>
      </c>
      <c r="K86" s="16" t="s">
        <v>72</v>
      </c>
      <c r="L86" s="16" t="s">
        <v>72</v>
      </c>
      <c r="M86" s="16" t="s">
        <v>20</v>
      </c>
      <c r="N86" s="16" t="s">
        <v>1576</v>
      </c>
    </row>
    <row r="87" customFormat="false" ht="45.75" hidden="false" customHeight="true" outlineLevel="0" collapsed="false">
      <c r="A87" s="16" t="n">
        <v>83</v>
      </c>
      <c r="B87" s="16" t="s">
        <v>522</v>
      </c>
      <c r="C87" s="16"/>
      <c r="D87" s="16"/>
      <c r="E87" s="16" t="s">
        <v>77</v>
      </c>
      <c r="F87" s="16" t="s">
        <v>372</v>
      </c>
      <c r="G87" s="16" t="s">
        <v>72</v>
      </c>
      <c r="H87" s="16"/>
      <c r="I87" s="16"/>
      <c r="J87" s="16" t="s">
        <v>72</v>
      </c>
      <c r="K87" s="16" t="s">
        <v>72</v>
      </c>
      <c r="L87" s="16" t="s">
        <v>72</v>
      </c>
      <c r="M87" s="16" t="s">
        <v>20</v>
      </c>
      <c r="N87" s="16" t="s">
        <v>1582</v>
      </c>
    </row>
    <row r="88" customFormat="false" ht="34.5" hidden="false" customHeight="true" outlineLevel="0" collapsed="false">
      <c r="A88" s="16" t="n">
        <v>84</v>
      </c>
      <c r="B88" s="16" t="s">
        <v>528</v>
      </c>
      <c r="C88" s="16"/>
      <c r="D88" s="16"/>
      <c r="E88" s="16" t="s">
        <v>77</v>
      </c>
      <c r="F88" s="16" t="s">
        <v>372</v>
      </c>
      <c r="G88" s="16" t="s">
        <v>72</v>
      </c>
      <c r="H88" s="16"/>
      <c r="I88" s="16"/>
      <c r="J88" s="16" t="s">
        <v>72</v>
      </c>
      <c r="K88" s="16" t="s">
        <v>72</v>
      </c>
      <c r="L88" s="16" t="s">
        <v>72</v>
      </c>
      <c r="M88" s="16" t="s">
        <v>20</v>
      </c>
      <c r="N88" s="16" t="s">
        <v>1584</v>
      </c>
    </row>
    <row r="89" customFormat="false" ht="45.75" hidden="false" customHeight="true" outlineLevel="0" collapsed="false">
      <c r="A89" s="16" t="n">
        <v>85</v>
      </c>
      <c r="B89" s="16" t="s">
        <v>532</v>
      </c>
      <c r="C89" s="16"/>
      <c r="D89" s="16"/>
      <c r="E89" s="16" t="s">
        <v>77</v>
      </c>
      <c r="F89" s="16" t="s">
        <v>372</v>
      </c>
      <c r="G89" s="16" t="s">
        <v>72</v>
      </c>
      <c r="H89" s="16"/>
      <c r="I89" s="16"/>
      <c r="J89" s="16" t="s">
        <v>72</v>
      </c>
      <c r="K89" s="16" t="s">
        <v>72</v>
      </c>
      <c r="L89" s="16" t="s">
        <v>72</v>
      </c>
      <c r="M89" s="16" t="s">
        <v>20</v>
      </c>
      <c r="N89" s="16" t="s">
        <v>1586</v>
      </c>
    </row>
    <row r="90" customFormat="false" ht="57" hidden="false" customHeight="true" outlineLevel="0" collapsed="false">
      <c r="A90" s="16" t="n">
        <v>86</v>
      </c>
      <c r="B90" s="16" t="s">
        <v>536</v>
      </c>
      <c r="C90" s="16"/>
      <c r="D90" s="16"/>
      <c r="E90" s="16" t="s">
        <v>77</v>
      </c>
      <c r="F90" s="16" t="s">
        <v>372</v>
      </c>
      <c r="G90" s="16" t="s">
        <v>72</v>
      </c>
      <c r="H90" s="16"/>
      <c r="I90" s="16"/>
      <c r="J90" s="16" t="s">
        <v>72</v>
      </c>
      <c r="K90" s="16" t="s">
        <v>72</v>
      </c>
      <c r="L90" s="16" t="s">
        <v>72</v>
      </c>
      <c r="M90" s="16" t="s">
        <v>20</v>
      </c>
      <c r="N90" s="16" t="s">
        <v>1588</v>
      </c>
    </row>
    <row r="91" customFormat="false" ht="45.75" hidden="false" customHeight="true" outlineLevel="0" collapsed="false">
      <c r="A91" s="16" t="n">
        <v>87</v>
      </c>
      <c r="B91" s="16" t="s">
        <v>540</v>
      </c>
      <c r="C91" s="16" t="s">
        <v>1386</v>
      </c>
      <c r="D91" s="16" t="s">
        <v>1002</v>
      </c>
      <c r="E91" s="16" t="s">
        <v>77</v>
      </c>
      <c r="F91" s="16" t="s">
        <v>372</v>
      </c>
      <c r="G91" s="16" t="s">
        <v>72</v>
      </c>
      <c r="H91" s="16"/>
      <c r="I91" s="16"/>
      <c r="J91" s="16" t="s">
        <v>72</v>
      </c>
      <c r="K91" s="16" t="s">
        <v>72</v>
      </c>
      <c r="L91" s="16" t="s">
        <v>72</v>
      </c>
      <c r="M91" s="16" t="s">
        <v>20</v>
      </c>
      <c r="N91" s="16" t="s">
        <v>1590</v>
      </c>
    </row>
    <row r="92" customFormat="false" ht="34.5" hidden="false" customHeight="true" outlineLevel="0" collapsed="false">
      <c r="A92" s="16" t="n">
        <v>88</v>
      </c>
      <c r="B92" s="16" t="s">
        <v>544</v>
      </c>
      <c r="C92" s="16"/>
      <c r="D92" s="16"/>
      <c r="E92" s="16" t="s">
        <v>77</v>
      </c>
      <c r="F92" s="16" t="s">
        <v>372</v>
      </c>
      <c r="G92" s="16" t="s">
        <v>72</v>
      </c>
      <c r="H92" s="16"/>
      <c r="I92" s="16"/>
      <c r="J92" s="16" t="s">
        <v>72</v>
      </c>
      <c r="K92" s="16" t="s">
        <v>72</v>
      </c>
      <c r="L92" s="16" t="s">
        <v>72</v>
      </c>
      <c r="M92" s="16" t="s">
        <v>20</v>
      </c>
      <c r="N92" s="16" t="s">
        <v>1592</v>
      </c>
    </row>
    <row r="93" customFormat="false" ht="34.5" hidden="false" customHeight="true" outlineLevel="0" collapsed="false">
      <c r="A93" s="16" t="n">
        <v>89</v>
      </c>
      <c r="B93" s="16" t="s">
        <v>549</v>
      </c>
      <c r="C93" s="16"/>
      <c r="D93" s="16"/>
      <c r="E93" s="16" t="s">
        <v>77</v>
      </c>
      <c r="F93" s="16" t="s">
        <v>372</v>
      </c>
      <c r="G93" s="16" t="s">
        <v>72</v>
      </c>
      <c r="H93" s="16"/>
      <c r="I93" s="16"/>
      <c r="J93" s="16" t="s">
        <v>72</v>
      </c>
      <c r="K93" s="16" t="s">
        <v>72</v>
      </c>
      <c r="L93" s="16" t="s">
        <v>72</v>
      </c>
      <c r="M93" s="16" t="s">
        <v>20</v>
      </c>
      <c r="N93" s="16" t="s">
        <v>1594</v>
      </c>
    </row>
    <row r="94" customFormat="false" ht="45.75" hidden="false" customHeight="true" outlineLevel="0" collapsed="false">
      <c r="A94" s="16" t="n">
        <v>90</v>
      </c>
      <c r="B94" s="16" t="s">
        <v>554</v>
      </c>
      <c r="C94" s="16"/>
      <c r="D94" s="16"/>
      <c r="E94" s="16" t="s">
        <v>77</v>
      </c>
      <c r="F94" s="16" t="s">
        <v>372</v>
      </c>
      <c r="G94" s="16" t="s">
        <v>72</v>
      </c>
      <c r="H94" s="16"/>
      <c r="I94" s="16"/>
      <c r="J94" s="16" t="s">
        <v>72</v>
      </c>
      <c r="K94" s="16" t="s">
        <v>72</v>
      </c>
      <c r="L94" s="16" t="s">
        <v>72</v>
      </c>
      <c r="M94" s="16" t="s">
        <v>20</v>
      </c>
      <c r="N94" s="16" t="s">
        <v>1596</v>
      </c>
    </row>
    <row r="95" customFormat="false" ht="34.5" hidden="false" customHeight="true" outlineLevel="0" collapsed="false">
      <c r="A95" s="16" t="n">
        <v>91</v>
      </c>
      <c r="B95" s="16" t="s">
        <v>558</v>
      </c>
      <c r="C95" s="16"/>
      <c r="D95" s="16"/>
      <c r="E95" s="16" t="s">
        <v>77</v>
      </c>
      <c r="F95" s="16" t="s">
        <v>372</v>
      </c>
      <c r="G95" s="16" t="s">
        <v>72</v>
      </c>
      <c r="H95" s="16"/>
      <c r="I95" s="16"/>
      <c r="J95" s="16" t="s">
        <v>72</v>
      </c>
      <c r="K95" s="16" t="s">
        <v>72</v>
      </c>
      <c r="L95" s="16" t="s">
        <v>72</v>
      </c>
      <c r="M95" s="16" t="s">
        <v>20</v>
      </c>
      <c r="N95" s="16" t="s">
        <v>1598</v>
      </c>
    </row>
    <row r="96" customFormat="false" ht="45.75" hidden="false" customHeight="true" outlineLevel="0" collapsed="false">
      <c r="A96" s="16" t="n">
        <v>92</v>
      </c>
      <c r="B96" s="16" t="s">
        <v>562</v>
      </c>
      <c r="C96" s="16"/>
      <c r="D96" s="16"/>
      <c r="E96" s="16" t="s">
        <v>77</v>
      </c>
      <c r="F96" s="16" t="s">
        <v>372</v>
      </c>
      <c r="G96" s="16" t="s">
        <v>72</v>
      </c>
      <c r="H96" s="16"/>
      <c r="I96" s="16"/>
      <c r="J96" s="16" t="s">
        <v>72</v>
      </c>
      <c r="K96" s="16" t="s">
        <v>72</v>
      </c>
      <c r="L96" s="16" t="s">
        <v>72</v>
      </c>
      <c r="M96" s="16" t="s">
        <v>20</v>
      </c>
      <c r="N96" s="16" t="s">
        <v>1600</v>
      </c>
    </row>
    <row r="97" customFormat="false" ht="45.75" hidden="false" customHeight="true" outlineLevel="0" collapsed="false">
      <c r="A97" s="16" t="n">
        <v>93</v>
      </c>
      <c r="B97" s="16" t="s">
        <v>566</v>
      </c>
      <c r="C97" s="16"/>
      <c r="D97" s="16"/>
      <c r="E97" s="16" t="s">
        <v>77</v>
      </c>
      <c r="F97" s="16" t="s">
        <v>372</v>
      </c>
      <c r="G97" s="16" t="s">
        <v>72</v>
      </c>
      <c r="H97" s="16"/>
      <c r="I97" s="16"/>
      <c r="J97" s="16" t="s">
        <v>72</v>
      </c>
      <c r="K97" s="16" t="s">
        <v>72</v>
      </c>
      <c r="L97" s="16" t="s">
        <v>72</v>
      </c>
      <c r="M97" s="16" t="s">
        <v>105</v>
      </c>
      <c r="N97" s="16" t="s">
        <v>1602</v>
      </c>
    </row>
    <row r="98" customFormat="false" ht="45.75" hidden="false" customHeight="true" outlineLevel="0" collapsed="false">
      <c r="A98" s="16" t="n">
        <v>94</v>
      </c>
      <c r="B98" s="16" t="s">
        <v>570</v>
      </c>
      <c r="C98" s="16"/>
      <c r="D98" s="16"/>
      <c r="E98" s="16" t="s">
        <v>77</v>
      </c>
      <c r="F98" s="16" t="s">
        <v>372</v>
      </c>
      <c r="G98" s="16" t="s">
        <v>72</v>
      </c>
      <c r="H98" s="16"/>
      <c r="I98" s="16"/>
      <c r="J98" s="16" t="s">
        <v>72</v>
      </c>
      <c r="K98" s="16" t="s">
        <v>72</v>
      </c>
      <c r="L98" s="16" t="s">
        <v>72</v>
      </c>
      <c r="M98" s="16" t="s">
        <v>20</v>
      </c>
      <c r="N98" s="16" t="s">
        <v>1604</v>
      </c>
    </row>
    <row r="99" customFormat="false" ht="45.75" hidden="false" customHeight="true" outlineLevel="0" collapsed="false">
      <c r="A99" s="16" t="n">
        <v>95</v>
      </c>
      <c r="B99" s="16" t="s">
        <v>575</v>
      </c>
      <c r="C99" s="16"/>
      <c r="D99" s="16"/>
      <c r="E99" s="16" t="s">
        <v>77</v>
      </c>
      <c r="F99" s="16" t="s">
        <v>372</v>
      </c>
      <c r="G99" s="16" t="s">
        <v>72</v>
      </c>
      <c r="H99" s="16"/>
      <c r="I99" s="16"/>
      <c r="J99" s="16" t="s">
        <v>72</v>
      </c>
      <c r="K99" s="16" t="s">
        <v>72</v>
      </c>
      <c r="L99" s="16" t="s">
        <v>72</v>
      </c>
      <c r="M99" s="16" t="s">
        <v>20</v>
      </c>
      <c r="N99" s="16" t="s">
        <v>1606</v>
      </c>
    </row>
    <row r="100" customFormat="false" ht="34.5" hidden="false" customHeight="true" outlineLevel="0" collapsed="false">
      <c r="A100" s="16" t="n">
        <v>96</v>
      </c>
      <c r="B100" s="16" t="s">
        <v>580</v>
      </c>
      <c r="C100" s="16"/>
      <c r="D100" s="16"/>
      <c r="E100" s="16" t="s">
        <v>77</v>
      </c>
      <c r="F100" s="16" t="s">
        <v>372</v>
      </c>
      <c r="G100" s="16" t="s">
        <v>72</v>
      </c>
      <c r="H100" s="16"/>
      <c r="I100" s="16"/>
      <c r="J100" s="16" t="s">
        <v>72</v>
      </c>
      <c r="K100" s="16" t="s">
        <v>72</v>
      </c>
      <c r="L100" s="16" t="s">
        <v>72</v>
      </c>
      <c r="M100" s="16" t="s">
        <v>20</v>
      </c>
      <c r="N100" s="16" t="s">
        <v>1608</v>
      </c>
    </row>
    <row r="101" customFormat="false" ht="45.75" hidden="false" customHeight="true" outlineLevel="0" collapsed="false">
      <c r="A101" s="16" t="n">
        <v>97</v>
      </c>
      <c r="B101" s="16" t="s">
        <v>584</v>
      </c>
      <c r="C101" s="16"/>
      <c r="D101" s="16"/>
      <c r="E101" s="16" t="s">
        <v>77</v>
      </c>
      <c r="F101" s="16" t="s">
        <v>372</v>
      </c>
      <c r="G101" s="16" t="s">
        <v>72</v>
      </c>
      <c r="H101" s="16"/>
      <c r="I101" s="16"/>
      <c r="J101" s="16" t="s">
        <v>72</v>
      </c>
      <c r="K101" s="16" t="s">
        <v>72</v>
      </c>
      <c r="L101" s="16" t="s">
        <v>72</v>
      </c>
      <c r="M101" s="16" t="s">
        <v>20</v>
      </c>
      <c r="N101" s="16" t="s">
        <v>1610</v>
      </c>
    </row>
    <row r="102" customFormat="false" ht="34.5" hidden="false" customHeight="true" outlineLevel="0" collapsed="false">
      <c r="A102" s="16" t="n">
        <v>98</v>
      </c>
      <c r="B102" s="16" t="s">
        <v>588</v>
      </c>
      <c r="C102" s="16"/>
      <c r="D102" s="16"/>
      <c r="E102" s="16" t="s">
        <v>77</v>
      </c>
      <c r="F102" s="16" t="s">
        <v>372</v>
      </c>
      <c r="G102" s="16" t="s">
        <v>72</v>
      </c>
      <c r="H102" s="16"/>
      <c r="I102" s="16"/>
      <c r="J102" s="16" t="s">
        <v>72</v>
      </c>
      <c r="K102" s="16" t="s">
        <v>72</v>
      </c>
      <c r="L102" s="16" t="s">
        <v>72</v>
      </c>
      <c r="M102" s="16" t="s">
        <v>20</v>
      </c>
      <c r="N102" s="16" t="s">
        <v>1612</v>
      </c>
    </row>
    <row r="103" customFormat="false" ht="34.5" hidden="false" customHeight="true" outlineLevel="0" collapsed="false">
      <c r="A103" s="16" t="n">
        <v>99</v>
      </c>
      <c r="B103" s="16" t="s">
        <v>592</v>
      </c>
      <c r="C103" s="16"/>
      <c r="D103" s="16"/>
      <c r="E103" s="16" t="s">
        <v>77</v>
      </c>
      <c r="F103" s="16" t="s">
        <v>372</v>
      </c>
      <c r="G103" s="16" t="s">
        <v>72</v>
      </c>
      <c r="H103" s="16"/>
      <c r="I103" s="16"/>
      <c r="J103" s="16" t="s">
        <v>72</v>
      </c>
      <c r="K103" s="16" t="s">
        <v>72</v>
      </c>
      <c r="L103" s="16" t="s">
        <v>72</v>
      </c>
      <c r="M103" s="16" t="s">
        <v>20</v>
      </c>
      <c r="N103" s="16" t="s">
        <v>1614</v>
      </c>
    </row>
    <row r="104" customFormat="false" ht="34.5" hidden="false" customHeight="true" outlineLevel="0" collapsed="false">
      <c r="A104" s="16" t="n">
        <v>100</v>
      </c>
      <c r="B104" s="16" t="s">
        <v>597</v>
      </c>
      <c r="C104" s="16" t="s">
        <v>1237</v>
      </c>
      <c r="D104" s="16" t="s">
        <v>1238</v>
      </c>
      <c r="E104" s="16" t="s">
        <v>77</v>
      </c>
      <c r="F104" s="16" t="s">
        <v>372</v>
      </c>
      <c r="G104" s="16" t="s">
        <v>72</v>
      </c>
      <c r="H104" s="16"/>
      <c r="I104" s="16"/>
      <c r="J104" s="16" t="s">
        <v>72</v>
      </c>
      <c r="K104" s="16" t="s">
        <v>72</v>
      </c>
      <c r="L104" s="16" t="s">
        <v>72</v>
      </c>
      <c r="M104" s="16" t="s">
        <v>20</v>
      </c>
      <c r="N104" s="16" t="s">
        <v>1616</v>
      </c>
    </row>
    <row r="105" customFormat="false" ht="45.75" hidden="false" customHeight="true" outlineLevel="0" collapsed="false">
      <c r="A105" s="16" t="n">
        <v>101</v>
      </c>
      <c r="B105" s="16" t="s">
        <v>602</v>
      </c>
      <c r="C105" s="16" t="s">
        <v>1245</v>
      </c>
      <c r="D105" s="16" t="s">
        <v>1246</v>
      </c>
      <c r="E105" s="16" t="s">
        <v>77</v>
      </c>
      <c r="F105" s="16" t="s">
        <v>372</v>
      </c>
      <c r="G105" s="16" t="s">
        <v>72</v>
      </c>
      <c r="H105" s="16"/>
      <c r="I105" s="16"/>
      <c r="J105" s="16" t="s">
        <v>72</v>
      </c>
      <c r="K105" s="16" t="s">
        <v>72</v>
      </c>
      <c r="L105" s="16" t="s">
        <v>72</v>
      </c>
      <c r="M105" s="16" t="s">
        <v>20</v>
      </c>
      <c r="N105" s="16" t="s">
        <v>1618</v>
      </c>
    </row>
    <row r="106" customFormat="false" ht="45.75" hidden="false" customHeight="true" outlineLevel="0" collapsed="false">
      <c r="A106" s="16" t="n">
        <v>102</v>
      </c>
      <c r="B106" s="16" t="s">
        <v>606</v>
      </c>
      <c r="C106" s="16" t="s">
        <v>1210</v>
      </c>
      <c r="D106" s="16" t="s">
        <v>1211</v>
      </c>
      <c r="E106" s="16" t="s">
        <v>77</v>
      </c>
      <c r="F106" s="16" t="s">
        <v>372</v>
      </c>
      <c r="G106" s="16" t="s">
        <v>72</v>
      </c>
      <c r="H106" s="16"/>
      <c r="I106" s="16"/>
      <c r="J106" s="16" t="s">
        <v>72</v>
      </c>
      <c r="K106" s="16" t="s">
        <v>72</v>
      </c>
      <c r="L106" s="16" t="s">
        <v>72</v>
      </c>
      <c r="M106" s="16" t="s">
        <v>20</v>
      </c>
      <c r="N106" s="16" t="s">
        <v>1620</v>
      </c>
    </row>
    <row r="107" customFormat="false" ht="45.75" hidden="false" customHeight="true" outlineLevel="0" collapsed="false">
      <c r="A107" s="16" t="n">
        <v>103</v>
      </c>
      <c r="B107" s="16" t="s">
        <v>610</v>
      </c>
      <c r="C107" s="16" t="s">
        <v>1213</v>
      </c>
      <c r="D107" s="16" t="s">
        <v>1214</v>
      </c>
      <c r="E107" s="16" t="s">
        <v>77</v>
      </c>
      <c r="F107" s="16" t="s">
        <v>372</v>
      </c>
      <c r="G107" s="16" t="s">
        <v>72</v>
      </c>
      <c r="H107" s="16"/>
      <c r="I107" s="16"/>
      <c r="J107" s="16" t="s">
        <v>72</v>
      </c>
      <c r="K107" s="16" t="s">
        <v>72</v>
      </c>
      <c r="L107" s="16" t="s">
        <v>72</v>
      </c>
      <c r="M107" s="16" t="s">
        <v>20</v>
      </c>
      <c r="N107" s="16" t="s">
        <v>1622</v>
      </c>
    </row>
    <row r="108" customFormat="false" ht="34.5" hidden="false" customHeight="true" outlineLevel="0" collapsed="false">
      <c r="A108" s="16" t="n">
        <v>104</v>
      </c>
      <c r="B108" s="16" t="s">
        <v>614</v>
      </c>
      <c r="C108" s="16" t="s">
        <v>1407</v>
      </c>
      <c r="D108" s="16" t="s">
        <v>1408</v>
      </c>
      <c r="E108" s="16" t="s">
        <v>77</v>
      </c>
      <c r="F108" s="16" t="s">
        <v>372</v>
      </c>
      <c r="G108" s="16" t="s">
        <v>72</v>
      </c>
      <c r="H108" s="16"/>
      <c r="I108" s="16"/>
      <c r="J108" s="16" t="s">
        <v>72</v>
      </c>
      <c r="K108" s="16" t="s">
        <v>72</v>
      </c>
      <c r="L108" s="16" t="s">
        <v>72</v>
      </c>
      <c r="M108" s="16" t="s">
        <v>20</v>
      </c>
      <c r="N108" s="16" t="s">
        <v>1624</v>
      </c>
    </row>
    <row r="109" customFormat="false" ht="34.5" hidden="false" customHeight="true" outlineLevel="0" collapsed="false">
      <c r="A109" s="16" t="n">
        <v>105</v>
      </c>
      <c r="B109" s="16" t="s">
        <v>618</v>
      </c>
      <c r="C109" s="16" t="s">
        <v>1389</v>
      </c>
      <c r="D109" s="16" t="s">
        <v>1390</v>
      </c>
      <c r="E109" s="16" t="s">
        <v>77</v>
      </c>
      <c r="F109" s="16" t="s">
        <v>372</v>
      </c>
      <c r="G109" s="16" t="s">
        <v>72</v>
      </c>
      <c r="H109" s="16"/>
      <c r="I109" s="16"/>
      <c r="J109" s="16" t="s">
        <v>72</v>
      </c>
      <c r="K109" s="16" t="s">
        <v>72</v>
      </c>
      <c r="L109" s="16" t="s">
        <v>72</v>
      </c>
      <c r="M109" s="16" t="s">
        <v>20</v>
      </c>
      <c r="N109" s="16" t="s">
        <v>1626</v>
      </c>
    </row>
    <row r="110" customFormat="false" ht="45.75" hidden="false" customHeight="true" outlineLevel="0" collapsed="false">
      <c r="A110" s="16" t="n">
        <v>106</v>
      </c>
      <c r="B110" s="16" t="s">
        <v>635</v>
      </c>
      <c r="C110" s="16"/>
      <c r="D110" s="16"/>
      <c r="E110" s="16" t="s">
        <v>77</v>
      </c>
      <c r="F110" s="16" t="s">
        <v>372</v>
      </c>
      <c r="G110" s="16" t="s">
        <v>72</v>
      </c>
      <c r="H110" s="16"/>
      <c r="I110" s="16"/>
      <c r="J110" s="16" t="s">
        <v>72</v>
      </c>
      <c r="K110" s="16" t="s">
        <v>72</v>
      </c>
      <c r="L110" s="16" t="s">
        <v>72</v>
      </c>
      <c r="M110" s="16" t="s">
        <v>20</v>
      </c>
      <c r="N110" s="16" t="s">
        <v>1632</v>
      </c>
    </row>
    <row r="111" customFormat="false" ht="45.75" hidden="false" customHeight="true" outlineLevel="0" collapsed="false">
      <c r="A111" s="16" t="n">
        <v>107</v>
      </c>
      <c r="B111" s="16" t="s">
        <v>647</v>
      </c>
      <c r="C111" s="16"/>
      <c r="D111" s="16"/>
      <c r="E111" s="16" t="s">
        <v>77</v>
      </c>
      <c r="F111" s="16" t="s">
        <v>372</v>
      </c>
      <c r="G111" s="16" t="s">
        <v>72</v>
      </c>
      <c r="H111" s="16"/>
      <c r="I111" s="16"/>
      <c r="J111" s="16" t="s">
        <v>72</v>
      </c>
      <c r="K111" s="16" t="s">
        <v>72</v>
      </c>
      <c r="L111" s="16" t="s">
        <v>72</v>
      </c>
      <c r="M111" s="16" t="s">
        <v>20</v>
      </c>
      <c r="N111" s="16" t="s">
        <v>1638</v>
      </c>
    </row>
    <row r="112" customFormat="false" ht="45.75" hidden="false" customHeight="true" outlineLevel="0" collapsed="false">
      <c r="A112" s="16" t="n">
        <v>108</v>
      </c>
      <c r="B112" s="16" t="s">
        <v>652</v>
      </c>
      <c r="C112" s="16"/>
      <c r="D112" s="16"/>
      <c r="E112" s="16" t="s">
        <v>77</v>
      </c>
      <c r="F112" s="16" t="s">
        <v>372</v>
      </c>
      <c r="G112" s="16" t="s">
        <v>72</v>
      </c>
      <c r="H112" s="16"/>
      <c r="I112" s="16"/>
      <c r="J112" s="16" t="s">
        <v>72</v>
      </c>
      <c r="K112" s="16" t="s">
        <v>72</v>
      </c>
      <c r="L112" s="16" t="s">
        <v>72</v>
      </c>
      <c r="M112" s="16" t="s">
        <v>20</v>
      </c>
      <c r="N112" s="16" t="s">
        <v>1640</v>
      </c>
    </row>
    <row r="113" customFormat="false" ht="45.75" hidden="false" customHeight="true" outlineLevel="0" collapsed="false">
      <c r="A113" s="16" t="n">
        <v>109</v>
      </c>
      <c r="B113" s="16" t="s">
        <v>656</v>
      </c>
      <c r="C113" s="16"/>
      <c r="D113" s="16"/>
      <c r="E113" s="16" t="s">
        <v>77</v>
      </c>
      <c r="F113" s="16" t="s">
        <v>372</v>
      </c>
      <c r="G113" s="16" t="s">
        <v>72</v>
      </c>
      <c r="H113" s="16"/>
      <c r="I113" s="16"/>
      <c r="J113" s="16" t="s">
        <v>72</v>
      </c>
      <c r="K113" s="16" t="s">
        <v>72</v>
      </c>
      <c r="L113" s="16" t="s">
        <v>72</v>
      </c>
      <c r="M113" s="16" t="s">
        <v>20</v>
      </c>
      <c r="N113" s="16" t="s">
        <v>1642</v>
      </c>
    </row>
    <row r="114" customFormat="false" ht="45.75" hidden="false" customHeight="true" outlineLevel="0" collapsed="false">
      <c r="A114" s="16" t="n">
        <v>110</v>
      </c>
      <c r="B114" s="16" t="s">
        <v>665</v>
      </c>
      <c r="C114" s="16" t="s">
        <v>1258</v>
      </c>
      <c r="D114" s="16" t="s">
        <v>1259</v>
      </c>
      <c r="E114" s="16" t="s">
        <v>77</v>
      </c>
      <c r="F114" s="16" t="s">
        <v>372</v>
      </c>
      <c r="G114" s="16" t="s">
        <v>72</v>
      </c>
      <c r="H114" s="16"/>
      <c r="I114" s="16"/>
      <c r="J114" s="16" t="s">
        <v>72</v>
      </c>
      <c r="K114" s="16" t="s">
        <v>72</v>
      </c>
      <c r="L114" s="16" t="s">
        <v>72</v>
      </c>
      <c r="M114" s="16" t="s">
        <v>20</v>
      </c>
      <c r="N114" s="16" t="s">
        <v>1646</v>
      </c>
    </row>
    <row r="115" customFormat="false" ht="57" hidden="false" customHeight="true" outlineLevel="0" collapsed="false">
      <c r="A115" s="16" t="n">
        <v>111</v>
      </c>
      <c r="B115" s="16" t="s">
        <v>670</v>
      </c>
      <c r="C115" s="16"/>
      <c r="D115" s="16"/>
      <c r="E115" s="16" t="s">
        <v>77</v>
      </c>
      <c r="F115" s="16" t="s">
        <v>372</v>
      </c>
      <c r="G115" s="16" t="s">
        <v>72</v>
      </c>
      <c r="H115" s="16"/>
      <c r="I115" s="16"/>
      <c r="J115" s="16" t="s">
        <v>72</v>
      </c>
      <c r="K115" s="16" t="s">
        <v>72</v>
      </c>
      <c r="L115" s="16" t="s">
        <v>72</v>
      </c>
      <c r="M115" s="16" t="s">
        <v>105</v>
      </c>
      <c r="N115" s="16" t="s">
        <v>1648</v>
      </c>
    </row>
    <row r="116" customFormat="false" ht="34.5" hidden="false" customHeight="true" outlineLevel="0" collapsed="false">
      <c r="A116" s="16" t="n">
        <v>112</v>
      </c>
      <c r="B116" s="16" t="s">
        <v>674</v>
      </c>
      <c r="C116" s="16" t="s">
        <v>1085</v>
      </c>
      <c r="D116" s="16" t="s">
        <v>1086</v>
      </c>
      <c r="E116" s="16" t="s">
        <v>77</v>
      </c>
      <c r="F116" s="16" t="s">
        <v>372</v>
      </c>
      <c r="G116" s="16" t="s">
        <v>72</v>
      </c>
      <c r="H116" s="16"/>
      <c r="I116" s="16"/>
      <c r="J116" s="16" t="s">
        <v>72</v>
      </c>
      <c r="K116" s="16" t="s">
        <v>72</v>
      </c>
      <c r="L116" s="16" t="s">
        <v>72</v>
      </c>
      <c r="M116" s="16" t="s">
        <v>20</v>
      </c>
      <c r="N116" s="16" t="s">
        <v>1650</v>
      </c>
    </row>
    <row r="117" customFormat="false" ht="34.5" hidden="false" customHeight="true" outlineLevel="0" collapsed="false">
      <c r="A117" s="16" t="n">
        <v>113</v>
      </c>
      <c r="B117" s="16" t="s">
        <v>679</v>
      </c>
      <c r="C117" s="16" t="s">
        <v>1199</v>
      </c>
      <c r="D117" s="16" t="s">
        <v>1200</v>
      </c>
      <c r="E117" s="16" t="s">
        <v>77</v>
      </c>
      <c r="F117" s="16" t="s">
        <v>372</v>
      </c>
      <c r="G117" s="16" t="s">
        <v>72</v>
      </c>
      <c r="H117" s="16"/>
      <c r="I117" s="16"/>
      <c r="J117" s="16" t="s">
        <v>72</v>
      </c>
      <c r="K117" s="16" t="s">
        <v>72</v>
      </c>
      <c r="L117" s="16" t="s">
        <v>72</v>
      </c>
      <c r="M117" s="16" t="s">
        <v>20</v>
      </c>
      <c r="N117" s="16" t="s">
        <v>1652</v>
      </c>
    </row>
    <row r="118" customFormat="false" ht="34.5" hidden="false" customHeight="true" outlineLevel="0" collapsed="false">
      <c r="A118" s="16" t="n">
        <v>114</v>
      </c>
      <c r="B118" s="16" t="s">
        <v>683</v>
      </c>
      <c r="C118" s="16" t="s">
        <v>1411</v>
      </c>
      <c r="D118" s="16" t="s">
        <v>1412</v>
      </c>
      <c r="E118" s="16" t="s">
        <v>77</v>
      </c>
      <c r="F118" s="16" t="s">
        <v>372</v>
      </c>
      <c r="G118" s="16" t="s">
        <v>72</v>
      </c>
      <c r="H118" s="16"/>
      <c r="I118" s="16"/>
      <c r="J118" s="16" t="s">
        <v>72</v>
      </c>
      <c r="K118" s="16" t="s">
        <v>72</v>
      </c>
      <c r="L118" s="16" t="s">
        <v>72</v>
      </c>
      <c r="M118" s="16" t="s">
        <v>20</v>
      </c>
      <c r="N118" s="16" t="s">
        <v>1654</v>
      </c>
    </row>
    <row r="119" customFormat="false" ht="68.25" hidden="false" customHeight="true" outlineLevel="0" collapsed="false">
      <c r="A119" s="16" t="n">
        <v>115</v>
      </c>
      <c r="B119" s="16" t="s">
        <v>687</v>
      </c>
      <c r="C119" s="16"/>
      <c r="D119" s="16"/>
      <c r="E119" s="16" t="s">
        <v>77</v>
      </c>
      <c r="F119" s="16" t="s">
        <v>372</v>
      </c>
      <c r="G119" s="16" t="s">
        <v>71</v>
      </c>
      <c r="H119" s="16" t="s">
        <v>372</v>
      </c>
      <c r="I119" s="16" t="s">
        <v>1750</v>
      </c>
      <c r="J119" s="16" t="s">
        <v>72</v>
      </c>
      <c r="K119" s="16" t="s">
        <v>72</v>
      </c>
      <c r="L119" s="16" t="s">
        <v>72</v>
      </c>
      <c r="M119" s="16" t="s">
        <v>1751</v>
      </c>
      <c r="N119" s="16" t="s">
        <v>1656</v>
      </c>
    </row>
    <row r="120" customFormat="false" ht="45.75" hidden="false" customHeight="true" outlineLevel="0" collapsed="false">
      <c r="A120" s="16" t="n">
        <v>116</v>
      </c>
      <c r="B120" s="16" t="s">
        <v>691</v>
      </c>
      <c r="C120" s="16" t="s">
        <v>1045</v>
      </c>
      <c r="D120" s="16" t="s">
        <v>1046</v>
      </c>
      <c r="E120" s="16" t="s">
        <v>77</v>
      </c>
      <c r="F120" s="16" t="s">
        <v>372</v>
      </c>
      <c r="G120" s="16" t="s">
        <v>72</v>
      </c>
      <c r="H120" s="16"/>
      <c r="I120" s="16"/>
      <c r="J120" s="16" t="s">
        <v>72</v>
      </c>
      <c r="K120" s="16" t="s">
        <v>72</v>
      </c>
      <c r="L120" s="16" t="s">
        <v>72</v>
      </c>
      <c r="M120" s="16" t="s">
        <v>20</v>
      </c>
      <c r="N120" s="16" t="s">
        <v>1658</v>
      </c>
    </row>
    <row r="121" customFormat="false" ht="45.75" hidden="false" customHeight="true" outlineLevel="0" collapsed="false">
      <c r="A121" s="16" t="n">
        <v>117</v>
      </c>
      <c r="B121" s="16" t="s">
        <v>695</v>
      </c>
      <c r="C121" s="16"/>
      <c r="D121" s="16"/>
      <c r="E121" s="16" t="s">
        <v>77</v>
      </c>
      <c r="F121" s="16" t="s">
        <v>372</v>
      </c>
      <c r="G121" s="16" t="s">
        <v>72</v>
      </c>
      <c r="H121" s="16"/>
      <c r="I121" s="16"/>
      <c r="J121" s="16" t="s">
        <v>72</v>
      </c>
      <c r="K121" s="16" t="s">
        <v>72</v>
      </c>
      <c r="L121" s="16" t="s">
        <v>72</v>
      </c>
      <c r="M121" s="16" t="s">
        <v>20</v>
      </c>
      <c r="N121" s="16" t="s">
        <v>1660</v>
      </c>
    </row>
    <row r="122" customFormat="false" ht="34.5" hidden="false" customHeight="true" outlineLevel="0" collapsed="false">
      <c r="A122" s="16" t="n">
        <v>118</v>
      </c>
      <c r="B122" s="16" t="s">
        <v>699</v>
      </c>
      <c r="C122" s="16" t="s">
        <v>1102</v>
      </c>
      <c r="D122" s="16" t="s">
        <v>1103</v>
      </c>
      <c r="E122" s="16" t="s">
        <v>77</v>
      </c>
      <c r="F122" s="16" t="s">
        <v>372</v>
      </c>
      <c r="G122" s="16" t="s">
        <v>72</v>
      </c>
      <c r="H122" s="16"/>
      <c r="I122" s="16"/>
      <c r="J122" s="16" t="s">
        <v>72</v>
      </c>
      <c r="K122" s="16" t="s">
        <v>72</v>
      </c>
      <c r="L122" s="16" t="s">
        <v>72</v>
      </c>
      <c r="M122" s="16" t="s">
        <v>20</v>
      </c>
      <c r="N122" s="16" t="s">
        <v>1662</v>
      </c>
    </row>
    <row r="123" customFormat="false" ht="45.75" hidden="false" customHeight="true" outlineLevel="0" collapsed="false">
      <c r="A123" s="16" t="n">
        <v>119</v>
      </c>
      <c r="B123" s="16" t="s">
        <v>711</v>
      </c>
      <c r="C123" s="16"/>
      <c r="D123" s="16"/>
      <c r="E123" s="16" t="s">
        <v>77</v>
      </c>
      <c r="F123" s="16" t="s">
        <v>372</v>
      </c>
      <c r="G123" s="16" t="s">
        <v>72</v>
      </c>
      <c r="H123" s="16"/>
      <c r="I123" s="16"/>
      <c r="J123" s="16" t="s">
        <v>72</v>
      </c>
      <c r="K123" s="16" t="s">
        <v>72</v>
      </c>
      <c r="L123" s="16" t="s">
        <v>72</v>
      </c>
      <c r="M123" s="16" t="s">
        <v>20</v>
      </c>
      <c r="N123" s="16" t="s">
        <v>1668</v>
      </c>
    </row>
    <row r="124" customFormat="false" ht="45.75" hidden="false" customHeight="true" outlineLevel="0" collapsed="false">
      <c r="A124" s="16" t="n">
        <v>120</v>
      </c>
      <c r="B124" s="16" t="s">
        <v>723</v>
      </c>
      <c r="C124" s="16"/>
      <c r="D124" s="16"/>
      <c r="E124" s="16" t="s">
        <v>77</v>
      </c>
      <c r="F124" s="16" t="s">
        <v>372</v>
      </c>
      <c r="G124" s="16" t="s">
        <v>72</v>
      </c>
      <c r="H124" s="16"/>
      <c r="I124" s="16"/>
      <c r="J124" s="16" t="s">
        <v>72</v>
      </c>
      <c r="K124" s="16" t="s">
        <v>72</v>
      </c>
      <c r="L124" s="16" t="s">
        <v>72</v>
      </c>
      <c r="M124" s="16" t="s">
        <v>20</v>
      </c>
      <c r="N124" s="16" t="s">
        <v>1674</v>
      </c>
    </row>
    <row r="125" customFormat="false" ht="45.75" hidden="false" customHeight="true" outlineLevel="0" collapsed="false">
      <c r="A125" s="16" t="n">
        <v>121</v>
      </c>
      <c r="B125" s="16" t="s">
        <v>727</v>
      </c>
      <c r="C125" s="16"/>
      <c r="D125" s="16"/>
      <c r="E125" s="16" t="s">
        <v>77</v>
      </c>
      <c r="F125" s="16" t="s">
        <v>372</v>
      </c>
      <c r="G125" s="16" t="s">
        <v>72</v>
      </c>
      <c r="H125" s="16"/>
      <c r="I125" s="16"/>
      <c r="J125" s="16" t="s">
        <v>72</v>
      </c>
      <c r="K125" s="16" t="s">
        <v>72</v>
      </c>
      <c r="L125" s="16" t="s">
        <v>72</v>
      </c>
      <c r="M125" s="16" t="s">
        <v>105</v>
      </c>
      <c r="N125" s="16" t="s">
        <v>1602</v>
      </c>
    </row>
    <row r="126" customFormat="false" ht="68.25" hidden="false" customHeight="true" outlineLevel="0" collapsed="false">
      <c r="A126" s="16" t="n">
        <v>122</v>
      </c>
      <c r="B126" s="16" t="s">
        <v>730</v>
      </c>
      <c r="C126" s="16"/>
      <c r="D126" s="16"/>
      <c r="E126" s="16" t="s">
        <v>77</v>
      </c>
      <c r="F126" s="16" t="s">
        <v>78</v>
      </c>
      <c r="G126" s="16" t="s">
        <v>72</v>
      </c>
      <c r="H126" s="16"/>
      <c r="I126" s="16"/>
      <c r="J126" s="16" t="s">
        <v>72</v>
      </c>
      <c r="K126" s="16" t="s">
        <v>72</v>
      </c>
      <c r="L126" s="16" t="s">
        <v>72</v>
      </c>
      <c r="M126" s="16" t="s">
        <v>20</v>
      </c>
      <c r="N126" s="16" t="s">
        <v>1677</v>
      </c>
    </row>
  </sheetData>
  <mergeCells count="2">
    <mergeCell ref="A1:N1"/>
    <mergeCell ref="A2:N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N3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1" width="4"/>
    <col collapsed="false" customWidth="true" hidden="false" outlineLevel="0" max="2" min="2" style="1" width="26"/>
    <col collapsed="false" customWidth="true" hidden="false" outlineLevel="0" max="3" min="3" style="1" width="18"/>
    <col collapsed="false" customWidth="true" hidden="false" outlineLevel="0" max="4" min="4" style="1" width="24"/>
    <col collapsed="false" customWidth="true" hidden="false" outlineLevel="0" max="5" min="5" style="1" width="10"/>
    <col collapsed="false" customWidth="true" hidden="false" outlineLevel="0" max="6" min="6" style="1" width="14"/>
    <col collapsed="false" customWidth="true" hidden="false" outlineLevel="0" max="8" min="7" style="1" width="12"/>
    <col collapsed="false" customWidth="true" hidden="false" outlineLevel="0" max="9" min="9" style="1" width="34"/>
    <col collapsed="false" customWidth="true" hidden="false" outlineLevel="0" max="12" min="10" style="1" width="12"/>
    <col collapsed="false" customWidth="true" hidden="false" outlineLevel="0" max="13" min="13" style="1" width="16"/>
    <col collapsed="false" customWidth="true" hidden="false" outlineLevel="0" max="14" min="14" style="1" width="34"/>
  </cols>
  <sheetData>
    <row r="1" customFormat="false" ht="15" hidden="false" customHeight="true" outlineLevel="0" collapsed="false">
      <c r="A1" s="19" t="s">
        <v>1752</v>
      </c>
      <c r="B1" s="19"/>
      <c r="C1" s="19"/>
      <c r="D1" s="19"/>
      <c r="E1" s="19"/>
      <c r="F1" s="19"/>
      <c r="G1" s="19"/>
      <c r="H1" s="19"/>
      <c r="I1" s="19"/>
      <c r="J1" s="19"/>
      <c r="K1" s="19"/>
      <c r="L1" s="19"/>
      <c r="M1" s="19"/>
      <c r="N1" s="19"/>
    </row>
    <row r="2" customFormat="false" ht="15" hidden="false" customHeight="true" outlineLevel="0" collapsed="false">
      <c r="A2" s="3" t="s">
        <v>1753</v>
      </c>
      <c r="B2" s="3"/>
      <c r="C2" s="3"/>
      <c r="D2" s="3"/>
      <c r="E2" s="3"/>
      <c r="F2" s="3"/>
      <c r="G2" s="3"/>
      <c r="H2" s="3"/>
      <c r="I2" s="3"/>
      <c r="J2" s="3"/>
      <c r="K2" s="3"/>
      <c r="L2" s="3"/>
      <c r="M2" s="3"/>
      <c r="N2" s="3"/>
    </row>
    <row r="3" customFormat="false" ht="34.5" hidden="false" customHeight="true" outlineLevel="0" collapsed="false">
      <c r="A3" s="20" t="s">
        <v>1725</v>
      </c>
      <c r="B3" s="20" t="s">
        <v>46</v>
      </c>
      <c r="C3" s="20" t="s">
        <v>1726</v>
      </c>
      <c r="D3" s="20" t="s">
        <v>1727</v>
      </c>
      <c r="E3" s="20" t="s">
        <v>1422</v>
      </c>
      <c r="F3" s="20" t="s">
        <v>1728</v>
      </c>
      <c r="G3" s="20" t="s">
        <v>1729</v>
      </c>
      <c r="H3" s="20" t="s">
        <v>1730</v>
      </c>
      <c r="I3" s="20" t="s">
        <v>1731</v>
      </c>
      <c r="J3" s="20" t="s">
        <v>1732</v>
      </c>
      <c r="K3" s="20" t="s">
        <v>1733</v>
      </c>
      <c r="L3" s="20" t="s">
        <v>1734</v>
      </c>
      <c r="M3" s="20" t="s">
        <v>60</v>
      </c>
      <c r="N3" s="20" t="s">
        <v>66</v>
      </c>
    </row>
    <row r="4" customFormat="false" ht="23.25" hidden="false" customHeight="true" outlineLevel="0" collapsed="false">
      <c r="A4" s="16" t="n">
        <v>0</v>
      </c>
      <c r="B4" s="16" t="s">
        <v>1735</v>
      </c>
      <c r="C4" s="16" t="s">
        <v>856</v>
      </c>
      <c r="D4" s="16" t="s">
        <v>857</v>
      </c>
      <c r="E4" s="16" t="s">
        <v>77</v>
      </c>
      <c r="F4" s="16" t="s">
        <v>78</v>
      </c>
      <c r="G4" s="16" t="s">
        <v>72</v>
      </c>
      <c r="H4" s="16"/>
      <c r="I4" s="16"/>
      <c r="J4" s="16" t="s">
        <v>72</v>
      </c>
      <c r="K4" s="16" t="s">
        <v>72</v>
      </c>
      <c r="L4" s="16" t="s">
        <v>72</v>
      </c>
      <c r="M4" s="16" t="s">
        <v>20</v>
      </c>
      <c r="N4" s="16" t="s">
        <v>79</v>
      </c>
    </row>
    <row r="5" customFormat="false" ht="23.25" hidden="false" customHeight="true" outlineLevel="0" collapsed="false">
      <c r="A5" s="16" t="n">
        <v>1</v>
      </c>
      <c r="B5" s="16" t="s">
        <v>249</v>
      </c>
      <c r="C5" s="16"/>
      <c r="D5" s="16"/>
      <c r="E5" s="16" t="s">
        <v>77</v>
      </c>
      <c r="F5" s="16" t="s">
        <v>78</v>
      </c>
      <c r="G5" s="16" t="s">
        <v>72</v>
      </c>
      <c r="H5" s="16"/>
      <c r="I5" s="16"/>
      <c r="J5" s="16" t="s">
        <v>72</v>
      </c>
      <c r="K5" s="16" t="s">
        <v>72</v>
      </c>
      <c r="L5" s="16" t="s">
        <v>72</v>
      </c>
      <c r="M5" s="16" t="s">
        <v>20</v>
      </c>
      <c r="N5" s="16" t="s">
        <v>255</v>
      </c>
    </row>
    <row r="6" customFormat="false" ht="23.25" hidden="false" customHeight="true" outlineLevel="0" collapsed="false">
      <c r="A6" s="16" t="n">
        <v>2</v>
      </c>
      <c r="B6" s="16" t="s">
        <v>256</v>
      </c>
      <c r="C6" s="16"/>
      <c r="D6" s="16"/>
      <c r="E6" s="16" t="s">
        <v>77</v>
      </c>
      <c r="F6" s="16" t="s">
        <v>78</v>
      </c>
      <c r="G6" s="16" t="s">
        <v>72</v>
      </c>
      <c r="H6" s="16"/>
      <c r="I6" s="16"/>
      <c r="J6" s="16" t="s">
        <v>72</v>
      </c>
      <c r="K6" s="16" t="s">
        <v>72</v>
      </c>
      <c r="L6" s="16" t="s">
        <v>72</v>
      </c>
      <c r="M6" s="16" t="s">
        <v>20</v>
      </c>
      <c r="N6" s="16" t="s">
        <v>255</v>
      </c>
    </row>
    <row r="7" customFormat="false" ht="23.25" hidden="false" customHeight="true" outlineLevel="0" collapsed="false">
      <c r="A7" s="16" t="n">
        <v>3</v>
      </c>
      <c r="B7" s="16" t="s">
        <v>260</v>
      </c>
      <c r="C7" s="16" t="s">
        <v>1150</v>
      </c>
      <c r="D7" s="16" t="s">
        <v>1151</v>
      </c>
      <c r="E7" s="16" t="s">
        <v>77</v>
      </c>
      <c r="F7" s="16" t="s">
        <v>78</v>
      </c>
      <c r="G7" s="16" t="s">
        <v>72</v>
      </c>
      <c r="H7" s="16"/>
      <c r="I7" s="16"/>
      <c r="J7" s="16" t="s">
        <v>72</v>
      </c>
      <c r="K7" s="16" t="s">
        <v>72</v>
      </c>
      <c r="L7" s="16" t="s">
        <v>72</v>
      </c>
      <c r="M7" s="16" t="s">
        <v>20</v>
      </c>
      <c r="N7" s="16" t="s">
        <v>255</v>
      </c>
    </row>
    <row r="8" customFormat="false" ht="23.25" hidden="false" customHeight="true" outlineLevel="0" collapsed="false">
      <c r="A8" s="16" t="n">
        <v>4</v>
      </c>
      <c r="B8" s="16" t="s">
        <v>264</v>
      </c>
      <c r="C8" s="16"/>
      <c r="D8" s="16"/>
      <c r="E8" s="16" t="s">
        <v>77</v>
      </c>
      <c r="F8" s="16" t="s">
        <v>78</v>
      </c>
      <c r="G8" s="16" t="s">
        <v>72</v>
      </c>
      <c r="H8" s="16"/>
      <c r="I8" s="16"/>
      <c r="J8" s="16" t="s">
        <v>72</v>
      </c>
      <c r="K8" s="16" t="s">
        <v>72</v>
      </c>
      <c r="L8" s="16" t="s">
        <v>72</v>
      </c>
      <c r="M8" s="16" t="s">
        <v>20</v>
      </c>
      <c r="N8" s="16" t="s">
        <v>255</v>
      </c>
    </row>
    <row r="9" customFormat="false" ht="23.25" hidden="false" customHeight="true" outlineLevel="0" collapsed="false">
      <c r="A9" s="16" t="n">
        <v>5</v>
      </c>
      <c r="B9" s="16" t="s">
        <v>267</v>
      </c>
      <c r="C9" s="16" t="s">
        <v>1154</v>
      </c>
      <c r="D9" s="16" t="s">
        <v>1155</v>
      </c>
      <c r="E9" s="16" t="s">
        <v>77</v>
      </c>
      <c r="F9" s="16" t="s">
        <v>78</v>
      </c>
      <c r="G9" s="16" t="s">
        <v>72</v>
      </c>
      <c r="H9" s="16"/>
      <c r="I9" s="16"/>
      <c r="J9" s="16" t="s">
        <v>72</v>
      </c>
      <c r="K9" s="16" t="s">
        <v>72</v>
      </c>
      <c r="L9" s="16" t="s">
        <v>72</v>
      </c>
      <c r="M9" s="16" t="s">
        <v>20</v>
      </c>
      <c r="N9" s="16" t="s">
        <v>255</v>
      </c>
    </row>
    <row r="10" customFormat="false" ht="23.25" hidden="false" customHeight="true" outlineLevel="0" collapsed="false">
      <c r="A10" s="16" t="n">
        <v>6</v>
      </c>
      <c r="B10" s="16" t="s">
        <v>270</v>
      </c>
      <c r="C10" s="16" t="s">
        <v>1158</v>
      </c>
      <c r="D10" s="16" t="s">
        <v>1159</v>
      </c>
      <c r="E10" s="16" t="s">
        <v>77</v>
      </c>
      <c r="F10" s="16" t="s">
        <v>78</v>
      </c>
      <c r="G10" s="16" t="s">
        <v>72</v>
      </c>
      <c r="H10" s="16"/>
      <c r="I10" s="16"/>
      <c r="J10" s="16" t="s">
        <v>72</v>
      </c>
      <c r="K10" s="16" t="s">
        <v>72</v>
      </c>
      <c r="L10" s="16" t="s">
        <v>72</v>
      </c>
      <c r="M10" s="16" t="s">
        <v>20</v>
      </c>
      <c r="N10" s="16" t="s">
        <v>255</v>
      </c>
    </row>
    <row r="11" customFormat="false" ht="23.25" hidden="false" customHeight="true" outlineLevel="0" collapsed="false">
      <c r="A11" s="16" t="n">
        <v>7</v>
      </c>
      <c r="B11" s="16" t="s">
        <v>274</v>
      </c>
      <c r="C11" s="16"/>
      <c r="D11" s="16"/>
      <c r="E11" s="16" t="s">
        <v>77</v>
      </c>
      <c r="F11" s="16" t="s">
        <v>78</v>
      </c>
      <c r="G11" s="16" t="s">
        <v>72</v>
      </c>
      <c r="H11" s="16"/>
      <c r="I11" s="16"/>
      <c r="J11" s="16" t="s">
        <v>72</v>
      </c>
      <c r="K11" s="16" t="s">
        <v>72</v>
      </c>
      <c r="L11" s="16" t="s">
        <v>72</v>
      </c>
      <c r="M11" s="16" t="s">
        <v>20</v>
      </c>
      <c r="N11" s="16" t="s">
        <v>255</v>
      </c>
    </row>
    <row r="12" customFormat="false" ht="34.5" hidden="false" customHeight="true" outlineLevel="0" collapsed="false">
      <c r="A12" s="16" t="n">
        <v>8</v>
      </c>
      <c r="B12" s="16" t="s">
        <v>277</v>
      </c>
      <c r="C12" s="16" t="s">
        <v>1162</v>
      </c>
      <c r="D12" s="16" t="s">
        <v>1163</v>
      </c>
      <c r="E12" s="16" t="s">
        <v>77</v>
      </c>
      <c r="F12" s="16" t="s">
        <v>78</v>
      </c>
      <c r="G12" s="16" t="s">
        <v>72</v>
      </c>
      <c r="H12" s="16"/>
      <c r="I12" s="16"/>
      <c r="J12" s="16" t="s">
        <v>72</v>
      </c>
      <c r="K12" s="16" t="s">
        <v>72</v>
      </c>
      <c r="L12" s="16" t="s">
        <v>72</v>
      </c>
      <c r="M12" s="16" t="s">
        <v>20</v>
      </c>
      <c r="N12" s="16" t="s">
        <v>255</v>
      </c>
    </row>
    <row r="13" customFormat="false" ht="23.25" hidden="false" customHeight="true" outlineLevel="0" collapsed="false">
      <c r="A13" s="16" t="n">
        <v>9</v>
      </c>
      <c r="B13" s="16" t="s">
        <v>280</v>
      </c>
      <c r="C13" s="16" t="s">
        <v>1183</v>
      </c>
      <c r="D13" s="16" t="s">
        <v>1184</v>
      </c>
      <c r="E13" s="16" t="s">
        <v>77</v>
      </c>
      <c r="F13" s="16" t="s">
        <v>78</v>
      </c>
      <c r="G13" s="16" t="s">
        <v>72</v>
      </c>
      <c r="H13" s="16"/>
      <c r="I13" s="16"/>
      <c r="J13" s="16" t="s">
        <v>72</v>
      </c>
      <c r="K13" s="16" t="s">
        <v>72</v>
      </c>
      <c r="L13" s="16" t="s">
        <v>72</v>
      </c>
      <c r="M13" s="16" t="s">
        <v>20</v>
      </c>
      <c r="N13" s="16" t="s">
        <v>255</v>
      </c>
    </row>
    <row r="14" customFormat="false" ht="23.25" hidden="false" customHeight="true" outlineLevel="0" collapsed="false">
      <c r="A14" s="16" t="n">
        <v>10</v>
      </c>
      <c r="B14" s="16" t="s">
        <v>283</v>
      </c>
      <c r="C14" s="16" t="s">
        <v>1187</v>
      </c>
      <c r="D14" s="16" t="s">
        <v>1188</v>
      </c>
      <c r="E14" s="16" t="s">
        <v>77</v>
      </c>
      <c r="F14" s="16" t="s">
        <v>78</v>
      </c>
      <c r="G14" s="16" t="s">
        <v>72</v>
      </c>
      <c r="H14" s="16"/>
      <c r="I14" s="16"/>
      <c r="J14" s="16" t="s">
        <v>72</v>
      </c>
      <c r="K14" s="16" t="s">
        <v>72</v>
      </c>
      <c r="L14" s="16" t="s">
        <v>72</v>
      </c>
      <c r="M14" s="16" t="s">
        <v>20</v>
      </c>
      <c r="N14" s="16" t="s">
        <v>255</v>
      </c>
    </row>
    <row r="15" customFormat="false" ht="102" hidden="false" customHeight="true" outlineLevel="0" collapsed="false">
      <c r="A15" s="16" t="n">
        <v>11</v>
      </c>
      <c r="B15" s="16" t="s">
        <v>286</v>
      </c>
      <c r="C15" s="16" t="s">
        <v>1142</v>
      </c>
      <c r="D15" s="16" t="s">
        <v>1143</v>
      </c>
      <c r="E15" s="16" t="s">
        <v>240</v>
      </c>
      <c r="F15" s="16" t="s">
        <v>78</v>
      </c>
      <c r="G15" s="16" t="s">
        <v>72</v>
      </c>
      <c r="H15" s="16"/>
      <c r="I15" s="16"/>
      <c r="J15" s="16" t="s">
        <v>72</v>
      </c>
      <c r="K15" s="16" t="s">
        <v>72</v>
      </c>
      <c r="L15" s="16" t="s">
        <v>72</v>
      </c>
      <c r="M15" s="16" t="s">
        <v>1489</v>
      </c>
      <c r="N15" s="16" t="s">
        <v>1490</v>
      </c>
    </row>
    <row r="16" customFormat="false" ht="23.25" hidden="false" customHeight="true" outlineLevel="0" collapsed="false">
      <c r="A16" s="16" t="n">
        <v>12</v>
      </c>
      <c r="B16" s="16" t="s">
        <v>348</v>
      </c>
      <c r="C16" s="16"/>
      <c r="D16" s="16"/>
      <c r="E16" s="16" t="s">
        <v>77</v>
      </c>
      <c r="F16" s="16" t="s">
        <v>331</v>
      </c>
      <c r="G16" s="16" t="s">
        <v>72</v>
      </c>
      <c r="H16" s="16"/>
      <c r="I16" s="16"/>
      <c r="J16" s="16" t="s">
        <v>72</v>
      </c>
      <c r="K16" s="16" t="s">
        <v>72</v>
      </c>
      <c r="L16" s="16" t="s">
        <v>72</v>
      </c>
      <c r="M16" s="16" t="s">
        <v>20</v>
      </c>
      <c r="N16" s="16"/>
    </row>
    <row r="17" customFormat="false" ht="15" hidden="false" customHeight="true" outlineLevel="0" collapsed="false">
      <c r="A17" s="16" t="n">
        <v>13</v>
      </c>
      <c r="B17" s="16" t="s">
        <v>352</v>
      </c>
      <c r="C17" s="16"/>
      <c r="D17" s="16"/>
      <c r="E17" s="16" t="s">
        <v>77</v>
      </c>
      <c r="F17" s="16" t="s">
        <v>331</v>
      </c>
      <c r="G17" s="16" t="s">
        <v>72</v>
      </c>
      <c r="H17" s="16"/>
      <c r="I17" s="16"/>
      <c r="J17" s="16" t="s">
        <v>72</v>
      </c>
      <c r="K17" s="16" t="s">
        <v>72</v>
      </c>
      <c r="L17" s="16" t="s">
        <v>72</v>
      </c>
      <c r="M17" s="16" t="s">
        <v>20</v>
      </c>
      <c r="N17" s="16"/>
    </row>
    <row r="18" customFormat="false" ht="15" hidden="false" customHeight="true" outlineLevel="0" collapsed="false">
      <c r="A18" s="16" t="n">
        <v>14</v>
      </c>
      <c r="B18" s="16" t="s">
        <v>355</v>
      </c>
      <c r="C18" s="16"/>
      <c r="D18" s="16"/>
      <c r="E18" s="16" t="s">
        <v>77</v>
      </c>
      <c r="F18" s="16" t="s">
        <v>331</v>
      </c>
      <c r="G18" s="16" t="s">
        <v>72</v>
      </c>
      <c r="H18" s="16"/>
      <c r="I18" s="16"/>
      <c r="J18" s="16" t="s">
        <v>72</v>
      </c>
      <c r="K18" s="16" t="s">
        <v>72</v>
      </c>
      <c r="L18" s="16" t="s">
        <v>72</v>
      </c>
      <c r="M18" s="16" t="s">
        <v>20</v>
      </c>
      <c r="N18" s="16"/>
    </row>
    <row r="19" customFormat="false" ht="23.25" hidden="false" customHeight="true" outlineLevel="0" collapsed="false">
      <c r="A19" s="16" t="n">
        <v>15</v>
      </c>
      <c r="B19" s="16" t="s">
        <v>358</v>
      </c>
      <c r="C19" s="16"/>
      <c r="D19" s="16"/>
      <c r="E19" s="16" t="s">
        <v>240</v>
      </c>
      <c r="F19" s="16" t="s">
        <v>331</v>
      </c>
      <c r="G19" s="16" t="s">
        <v>72</v>
      </c>
      <c r="H19" s="16"/>
      <c r="I19" s="16"/>
      <c r="J19" s="16" t="s">
        <v>72</v>
      </c>
      <c r="K19" s="16" t="s">
        <v>72</v>
      </c>
      <c r="L19" s="16" t="s">
        <v>72</v>
      </c>
      <c r="M19" s="16" t="s">
        <v>20</v>
      </c>
      <c r="N19" s="16" t="s">
        <v>1754</v>
      </c>
    </row>
    <row r="20" customFormat="false" ht="23.25" hidden="false" customHeight="true" outlineLevel="0" collapsed="false">
      <c r="A20" s="16" t="n">
        <v>16</v>
      </c>
      <c r="B20" s="16" t="s">
        <v>405</v>
      </c>
      <c r="C20" s="16"/>
      <c r="D20" s="16"/>
      <c r="E20" s="16" t="s">
        <v>240</v>
      </c>
      <c r="F20" s="16" t="s">
        <v>492</v>
      </c>
      <c r="G20" s="16" t="s">
        <v>72</v>
      </c>
      <c r="H20" s="16"/>
      <c r="I20" s="16"/>
      <c r="J20" s="16" t="s">
        <v>72</v>
      </c>
      <c r="K20" s="16" t="s">
        <v>72</v>
      </c>
      <c r="L20" s="16" t="s">
        <v>72</v>
      </c>
      <c r="M20" s="16" t="s">
        <v>1489</v>
      </c>
      <c r="N20" s="16" t="s">
        <v>1534</v>
      </c>
    </row>
    <row r="21" customFormat="false" ht="113.25" hidden="false" customHeight="true" outlineLevel="0" collapsed="false">
      <c r="A21" s="16" t="n">
        <v>17</v>
      </c>
      <c r="B21" s="16" t="s">
        <v>410</v>
      </c>
      <c r="C21" s="16"/>
      <c r="D21" s="16"/>
      <c r="E21" s="16" t="s">
        <v>77</v>
      </c>
      <c r="F21" s="16" t="s">
        <v>492</v>
      </c>
      <c r="G21" s="16" t="s">
        <v>71</v>
      </c>
      <c r="H21" s="16" t="s">
        <v>492</v>
      </c>
      <c r="I21" s="16" t="s">
        <v>1755</v>
      </c>
      <c r="J21" s="16" t="s">
        <v>72</v>
      </c>
      <c r="K21" s="16" t="s">
        <v>72</v>
      </c>
      <c r="L21" s="16" t="s">
        <v>72</v>
      </c>
      <c r="M21" s="16" t="s">
        <v>1756</v>
      </c>
      <c r="N21" s="16" t="s">
        <v>1536</v>
      </c>
    </row>
    <row r="22" customFormat="false" ht="34.5" hidden="false" customHeight="true" outlineLevel="0" collapsed="false">
      <c r="A22" s="16" t="n">
        <v>18</v>
      </c>
      <c r="B22" s="16" t="s">
        <v>426</v>
      </c>
      <c r="C22" s="16"/>
      <c r="D22" s="16"/>
      <c r="E22" s="16" t="s">
        <v>77</v>
      </c>
      <c r="F22" s="16" t="s">
        <v>492</v>
      </c>
      <c r="G22" s="16" t="s">
        <v>72</v>
      </c>
      <c r="H22" s="16"/>
      <c r="I22" s="16"/>
      <c r="J22" s="16" t="s">
        <v>72</v>
      </c>
      <c r="K22" s="16" t="s">
        <v>72</v>
      </c>
      <c r="L22" s="16" t="s">
        <v>72</v>
      </c>
      <c r="M22" s="16" t="s">
        <v>20</v>
      </c>
      <c r="N22" s="16" t="s">
        <v>1542</v>
      </c>
    </row>
    <row r="23" customFormat="false" ht="34.5" hidden="false" customHeight="true" outlineLevel="0" collapsed="false">
      <c r="A23" s="16" t="n">
        <v>19</v>
      </c>
      <c r="B23" s="16" t="s">
        <v>432</v>
      </c>
      <c r="C23" s="16"/>
      <c r="D23" s="16"/>
      <c r="E23" s="16" t="s">
        <v>77</v>
      </c>
      <c r="F23" s="16" t="s">
        <v>492</v>
      </c>
      <c r="G23" s="16" t="s">
        <v>72</v>
      </c>
      <c r="H23" s="16"/>
      <c r="I23" s="16"/>
      <c r="J23" s="16" t="s">
        <v>72</v>
      </c>
      <c r="K23" s="16" t="s">
        <v>72</v>
      </c>
      <c r="L23" s="16" t="s">
        <v>72</v>
      </c>
      <c r="M23" s="16" t="s">
        <v>20</v>
      </c>
      <c r="N23" s="16" t="s">
        <v>1544</v>
      </c>
    </row>
    <row r="24" customFormat="false" ht="34.5" hidden="false" customHeight="true" outlineLevel="0" collapsed="false">
      <c r="A24" s="16" t="n">
        <v>20</v>
      </c>
      <c r="B24" s="16" t="s">
        <v>512</v>
      </c>
      <c r="C24" s="16"/>
      <c r="D24" s="16"/>
      <c r="E24" s="16" t="s">
        <v>77</v>
      </c>
      <c r="F24" s="16" t="s">
        <v>492</v>
      </c>
      <c r="G24" s="16" t="s">
        <v>72</v>
      </c>
      <c r="H24" s="16"/>
      <c r="I24" s="16"/>
      <c r="J24" s="16" t="s">
        <v>72</v>
      </c>
      <c r="K24" s="16" t="s">
        <v>72</v>
      </c>
      <c r="L24" s="16" t="s">
        <v>72</v>
      </c>
      <c r="M24" s="16" t="s">
        <v>20</v>
      </c>
      <c r="N24" s="16" t="s">
        <v>1578</v>
      </c>
    </row>
    <row r="25" customFormat="false" ht="45.75" hidden="false" customHeight="true" outlineLevel="0" collapsed="false">
      <c r="A25" s="16" t="n">
        <v>21</v>
      </c>
      <c r="B25" s="16" t="s">
        <v>518</v>
      </c>
      <c r="C25" s="16"/>
      <c r="D25" s="16"/>
      <c r="E25" s="16" t="s">
        <v>77</v>
      </c>
      <c r="F25" s="16" t="s">
        <v>372</v>
      </c>
      <c r="G25" s="16" t="s">
        <v>72</v>
      </c>
      <c r="H25" s="16"/>
      <c r="I25" s="16"/>
      <c r="J25" s="16" t="s">
        <v>72</v>
      </c>
      <c r="K25" s="16" t="s">
        <v>72</v>
      </c>
      <c r="L25" s="16" t="s">
        <v>72</v>
      </c>
      <c r="M25" s="16" t="s">
        <v>20</v>
      </c>
      <c r="N25" s="16" t="s">
        <v>1580</v>
      </c>
    </row>
    <row r="26" customFormat="false" ht="45.75" hidden="false" customHeight="true" outlineLevel="0" collapsed="false">
      <c r="A26" s="16" t="n">
        <v>22</v>
      </c>
      <c r="B26" s="16" t="s">
        <v>623</v>
      </c>
      <c r="C26" s="16" t="s">
        <v>1356</v>
      </c>
      <c r="D26" s="16" t="s">
        <v>1357</v>
      </c>
      <c r="E26" s="16" t="s">
        <v>77</v>
      </c>
      <c r="F26" s="16" t="s">
        <v>372</v>
      </c>
      <c r="G26" s="16" t="s">
        <v>72</v>
      </c>
      <c r="H26" s="16"/>
      <c r="I26" s="16"/>
      <c r="J26" s="16" t="s">
        <v>72</v>
      </c>
      <c r="K26" s="16" t="s">
        <v>72</v>
      </c>
      <c r="L26" s="16" t="s">
        <v>72</v>
      </c>
      <c r="M26" s="16" t="s">
        <v>20</v>
      </c>
      <c r="N26" s="16" t="s">
        <v>1628</v>
      </c>
    </row>
    <row r="27" customFormat="false" ht="45.75" hidden="false" customHeight="true" outlineLevel="0" collapsed="false">
      <c r="A27" s="16" t="n">
        <v>23</v>
      </c>
      <c r="B27" s="16" t="s">
        <v>629</v>
      </c>
      <c r="C27" s="16" t="s">
        <v>1353</v>
      </c>
      <c r="D27" s="16" t="s">
        <v>1180</v>
      </c>
      <c r="E27" s="16" t="s">
        <v>77</v>
      </c>
      <c r="F27" s="16" t="s">
        <v>372</v>
      </c>
      <c r="G27" s="16" t="s">
        <v>72</v>
      </c>
      <c r="H27" s="16"/>
      <c r="I27" s="16"/>
      <c r="J27" s="16" t="s">
        <v>72</v>
      </c>
      <c r="K27" s="16" t="s">
        <v>72</v>
      </c>
      <c r="L27" s="16" t="s">
        <v>72</v>
      </c>
      <c r="M27" s="16" t="s">
        <v>20</v>
      </c>
      <c r="N27" s="16" t="s">
        <v>1630</v>
      </c>
    </row>
    <row r="28" customFormat="false" ht="34.5" hidden="false" customHeight="true" outlineLevel="0" collapsed="false">
      <c r="A28" s="16" t="n">
        <v>24</v>
      </c>
      <c r="B28" s="16" t="s">
        <v>639</v>
      </c>
      <c r="C28" s="16" t="s">
        <v>1360</v>
      </c>
      <c r="D28" s="16" t="s">
        <v>1180</v>
      </c>
      <c r="E28" s="16" t="s">
        <v>77</v>
      </c>
      <c r="F28" s="16" t="s">
        <v>372</v>
      </c>
      <c r="G28" s="16" t="s">
        <v>72</v>
      </c>
      <c r="H28" s="16"/>
      <c r="I28" s="16"/>
      <c r="J28" s="16" t="s">
        <v>72</v>
      </c>
      <c r="K28" s="16" t="s">
        <v>72</v>
      </c>
      <c r="L28" s="16" t="s">
        <v>72</v>
      </c>
      <c r="M28" s="16" t="s">
        <v>20</v>
      </c>
      <c r="N28" s="16" t="s">
        <v>1634</v>
      </c>
    </row>
    <row r="29" customFormat="false" ht="34.5" hidden="false" customHeight="true" outlineLevel="0" collapsed="false">
      <c r="A29" s="16" t="n">
        <v>25</v>
      </c>
      <c r="B29" s="16" t="s">
        <v>643</v>
      </c>
      <c r="C29" s="16"/>
      <c r="D29" s="16"/>
      <c r="E29" s="16" t="s">
        <v>77</v>
      </c>
      <c r="F29" s="16" t="s">
        <v>372</v>
      </c>
      <c r="G29" s="16" t="s">
        <v>72</v>
      </c>
      <c r="H29" s="16"/>
      <c r="I29" s="16"/>
      <c r="J29" s="16" t="s">
        <v>72</v>
      </c>
      <c r="K29" s="16" t="s">
        <v>72</v>
      </c>
      <c r="L29" s="16" t="s">
        <v>72</v>
      </c>
      <c r="M29" s="16" t="s">
        <v>20</v>
      </c>
      <c r="N29" s="16" t="s">
        <v>1636</v>
      </c>
    </row>
    <row r="30" customFormat="false" ht="34.5" hidden="false" customHeight="true" outlineLevel="0" collapsed="false">
      <c r="A30" s="16" t="n">
        <v>26</v>
      </c>
      <c r="B30" s="16" t="s">
        <v>660</v>
      </c>
      <c r="C30" s="16"/>
      <c r="D30" s="16"/>
      <c r="E30" s="16" t="s">
        <v>77</v>
      </c>
      <c r="F30" s="16" t="s">
        <v>372</v>
      </c>
      <c r="G30" s="16" t="s">
        <v>72</v>
      </c>
      <c r="H30" s="16"/>
      <c r="I30" s="16"/>
      <c r="J30" s="16" t="s">
        <v>72</v>
      </c>
      <c r="K30" s="16" t="s">
        <v>72</v>
      </c>
      <c r="L30" s="16" t="s">
        <v>72</v>
      </c>
      <c r="M30" s="16" t="s">
        <v>20</v>
      </c>
      <c r="N30" s="16" t="s">
        <v>1644</v>
      </c>
    </row>
    <row r="31" customFormat="false" ht="45.75" hidden="false" customHeight="true" outlineLevel="0" collapsed="false">
      <c r="A31" s="16" t="n">
        <v>27</v>
      </c>
      <c r="B31" s="16" t="s">
        <v>703</v>
      </c>
      <c r="C31" s="16" t="s">
        <v>1179</v>
      </c>
      <c r="D31" s="16" t="s">
        <v>1180</v>
      </c>
      <c r="E31" s="16" t="s">
        <v>77</v>
      </c>
      <c r="F31" s="16" t="s">
        <v>372</v>
      </c>
      <c r="G31" s="16" t="s">
        <v>72</v>
      </c>
      <c r="H31" s="16"/>
      <c r="I31" s="16"/>
      <c r="J31" s="16" t="s">
        <v>72</v>
      </c>
      <c r="K31" s="16" t="s">
        <v>72</v>
      </c>
      <c r="L31" s="16" t="s">
        <v>72</v>
      </c>
      <c r="M31" s="16" t="s">
        <v>20</v>
      </c>
      <c r="N31" s="16" t="s">
        <v>1664</v>
      </c>
    </row>
    <row r="32" customFormat="false" ht="34.5" hidden="false" customHeight="true" outlineLevel="0" collapsed="false">
      <c r="A32" s="16" t="n">
        <v>28</v>
      </c>
      <c r="B32" s="16" t="s">
        <v>707</v>
      </c>
      <c r="C32" s="16"/>
      <c r="D32" s="16"/>
      <c r="E32" s="16" t="s">
        <v>77</v>
      </c>
      <c r="F32" s="16" t="s">
        <v>372</v>
      </c>
      <c r="G32" s="16" t="s">
        <v>72</v>
      </c>
      <c r="H32" s="16"/>
      <c r="I32" s="16"/>
      <c r="J32" s="16" t="s">
        <v>72</v>
      </c>
      <c r="K32" s="16" t="s">
        <v>72</v>
      </c>
      <c r="L32" s="16" t="s">
        <v>72</v>
      </c>
      <c r="M32" s="16" t="s">
        <v>20</v>
      </c>
      <c r="N32" s="16" t="s">
        <v>1666</v>
      </c>
    </row>
    <row r="33" customFormat="false" ht="45.75" hidden="false" customHeight="true" outlineLevel="0" collapsed="false">
      <c r="A33" s="16" t="n">
        <v>29</v>
      </c>
      <c r="B33" s="16" t="s">
        <v>715</v>
      </c>
      <c r="C33" s="16" t="s">
        <v>1126</v>
      </c>
      <c r="D33" s="16" t="s">
        <v>1064</v>
      </c>
      <c r="E33" s="16" t="s">
        <v>77</v>
      </c>
      <c r="F33" s="16" t="s">
        <v>372</v>
      </c>
      <c r="G33" s="16" t="s">
        <v>72</v>
      </c>
      <c r="H33" s="16"/>
      <c r="I33" s="16"/>
      <c r="J33" s="16" t="s">
        <v>72</v>
      </c>
      <c r="K33" s="16" t="s">
        <v>72</v>
      </c>
      <c r="L33" s="16" t="s">
        <v>72</v>
      </c>
      <c r="M33" s="16" t="s">
        <v>20</v>
      </c>
      <c r="N33" s="16" t="s">
        <v>1670</v>
      </c>
    </row>
    <row r="34" customFormat="false" ht="34.5" hidden="false" customHeight="true" outlineLevel="0" collapsed="false">
      <c r="A34" s="16" t="n">
        <v>30</v>
      </c>
      <c r="B34" s="16" t="s">
        <v>719</v>
      </c>
      <c r="C34" s="16" t="s">
        <v>1129</v>
      </c>
      <c r="D34" s="16" t="s">
        <v>1130</v>
      </c>
      <c r="E34" s="16" t="s">
        <v>77</v>
      </c>
      <c r="F34" s="16" t="s">
        <v>372</v>
      </c>
      <c r="G34" s="16" t="s">
        <v>72</v>
      </c>
      <c r="H34" s="16"/>
      <c r="I34" s="16"/>
      <c r="J34" s="16" t="s">
        <v>72</v>
      </c>
      <c r="K34" s="16" t="s">
        <v>72</v>
      </c>
      <c r="L34" s="16" t="s">
        <v>72</v>
      </c>
      <c r="M34" s="16" t="s">
        <v>20</v>
      </c>
      <c r="N34" s="16" t="s">
        <v>1672</v>
      </c>
    </row>
    <row r="35" customFormat="false" ht="57" hidden="false" customHeight="true" outlineLevel="0" collapsed="false">
      <c r="A35" s="16" t="n">
        <v>31</v>
      </c>
      <c r="B35" s="16" t="s">
        <v>735</v>
      </c>
      <c r="C35" s="16"/>
      <c r="D35" s="16"/>
      <c r="E35" s="16" t="s">
        <v>77</v>
      </c>
      <c r="F35" s="16" t="s">
        <v>78</v>
      </c>
      <c r="G35" s="16" t="s">
        <v>72</v>
      </c>
      <c r="H35" s="16"/>
      <c r="I35" s="16"/>
      <c r="J35" s="16" t="s">
        <v>72</v>
      </c>
      <c r="K35" s="16" t="s">
        <v>72</v>
      </c>
      <c r="L35" s="16" t="s">
        <v>72</v>
      </c>
      <c r="M35" s="16" t="s">
        <v>20</v>
      </c>
      <c r="N35" s="16" t="s">
        <v>1679</v>
      </c>
    </row>
  </sheetData>
  <mergeCells count="2">
    <mergeCell ref="A1:N1"/>
    <mergeCell ref="A2:N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I14"/>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1" width="12"/>
    <col collapsed="false" customWidth="true" hidden="false" outlineLevel="0" max="2" min="2" style="1" width="26"/>
    <col collapsed="false" customWidth="true" hidden="false" outlineLevel="0" max="3" min="3" style="1" width="20"/>
    <col collapsed="false" customWidth="true" hidden="false" outlineLevel="0" max="4" min="4" style="1" width="22"/>
    <col collapsed="false" customWidth="true" hidden="false" outlineLevel="0" max="5" min="5" style="1" width="16"/>
    <col collapsed="false" customWidth="true" hidden="false" outlineLevel="0" max="6" min="6" style="1" width="46"/>
    <col collapsed="false" customWidth="true" hidden="false" outlineLevel="0" max="7" min="7" style="1" width="16"/>
    <col collapsed="false" customWidth="true" hidden="false" outlineLevel="0" max="8" min="8" style="1" width="18"/>
    <col collapsed="false" customWidth="true" hidden="false" outlineLevel="0" max="9" min="9" style="1" width="16"/>
  </cols>
  <sheetData>
    <row r="1" customFormat="false" ht="15" hidden="false" customHeight="true" outlineLevel="0" collapsed="false">
      <c r="A1" s="21" t="s">
        <v>1757</v>
      </c>
    </row>
    <row r="2" customFormat="false" ht="15" hidden="false" customHeight="true" outlineLevel="0" collapsed="false">
      <c r="A2" s="22" t="s">
        <v>1758</v>
      </c>
    </row>
    <row r="3" customFormat="false" ht="34.5" hidden="false" customHeight="true" outlineLevel="0" collapsed="false">
      <c r="A3" s="20" t="s">
        <v>1759</v>
      </c>
      <c r="B3" s="20" t="s">
        <v>46</v>
      </c>
      <c r="C3" s="20" t="s">
        <v>1760</v>
      </c>
      <c r="D3" s="20" t="s">
        <v>1761</v>
      </c>
      <c r="E3" s="20" t="s">
        <v>1762</v>
      </c>
      <c r="F3" s="20" t="s">
        <v>1763</v>
      </c>
      <c r="G3" s="20" t="s">
        <v>1764</v>
      </c>
      <c r="H3" s="20" t="s">
        <v>1765</v>
      </c>
      <c r="I3" s="20" t="s">
        <v>60</v>
      </c>
    </row>
    <row r="4" customFormat="false" ht="34.5" hidden="false" customHeight="true" outlineLevel="0" collapsed="false">
      <c r="A4" s="16" t="s">
        <v>78</v>
      </c>
      <c r="B4" s="16" t="s">
        <v>80</v>
      </c>
      <c r="C4" s="16" t="s">
        <v>1766</v>
      </c>
      <c r="D4" s="16" t="s">
        <v>1767</v>
      </c>
      <c r="E4" s="16" t="s">
        <v>1768</v>
      </c>
      <c r="F4" s="16" t="s">
        <v>1736</v>
      </c>
      <c r="G4" s="16" t="s">
        <v>1769</v>
      </c>
      <c r="H4" s="16" t="s">
        <v>78</v>
      </c>
      <c r="I4" s="16" t="s">
        <v>1737</v>
      </c>
    </row>
    <row r="5" customFormat="false" ht="34.5" hidden="false" customHeight="true" outlineLevel="0" collapsed="false">
      <c r="A5" s="16" t="s">
        <v>91</v>
      </c>
      <c r="B5" s="16" t="s">
        <v>86</v>
      </c>
      <c r="C5" s="16" t="s">
        <v>1770</v>
      </c>
      <c r="D5" s="16" t="s">
        <v>1767</v>
      </c>
      <c r="E5" s="16" t="s">
        <v>1771</v>
      </c>
      <c r="F5" s="16" t="s">
        <v>1738</v>
      </c>
      <c r="G5" s="16" t="s">
        <v>71</v>
      </c>
      <c r="H5" s="16" t="s">
        <v>78</v>
      </c>
      <c r="I5" s="16" t="s">
        <v>1739</v>
      </c>
    </row>
    <row r="6" customFormat="false" ht="34.5" hidden="false" customHeight="true" outlineLevel="0" collapsed="false">
      <c r="A6" s="16" t="s">
        <v>78</v>
      </c>
      <c r="B6" s="16" t="s">
        <v>161</v>
      </c>
      <c r="C6" s="16" t="s">
        <v>1772</v>
      </c>
      <c r="D6" s="16" t="s">
        <v>73</v>
      </c>
      <c r="E6" s="16" t="s">
        <v>1773</v>
      </c>
      <c r="F6" s="16" t="s">
        <v>1774</v>
      </c>
      <c r="G6" s="16" t="s">
        <v>71</v>
      </c>
      <c r="H6" s="16" t="s">
        <v>78</v>
      </c>
      <c r="I6" s="16" t="s">
        <v>1775</v>
      </c>
    </row>
    <row r="7" customFormat="false" ht="45.75" hidden="false" customHeight="true" outlineLevel="0" collapsed="false">
      <c r="A7" s="16" t="s">
        <v>78</v>
      </c>
      <c r="B7" s="16" t="s">
        <v>100</v>
      </c>
      <c r="C7" s="16" t="s">
        <v>1776</v>
      </c>
      <c r="D7" s="16" t="s">
        <v>73</v>
      </c>
      <c r="E7" s="16" t="s">
        <v>1777</v>
      </c>
      <c r="F7" s="16" t="s">
        <v>1740</v>
      </c>
      <c r="G7" s="16" t="s">
        <v>72</v>
      </c>
      <c r="H7" s="16"/>
      <c r="I7" s="16" t="s">
        <v>1741</v>
      </c>
    </row>
    <row r="8" customFormat="false" ht="23.25" hidden="false" customHeight="true" outlineLevel="0" collapsed="false">
      <c r="A8" s="16" t="s">
        <v>78</v>
      </c>
      <c r="B8" s="16" t="s">
        <v>1778</v>
      </c>
      <c r="C8" s="16" t="s">
        <v>1779</v>
      </c>
      <c r="D8" s="16" t="s">
        <v>73</v>
      </c>
      <c r="E8" s="16" t="s">
        <v>1780</v>
      </c>
      <c r="F8" s="16" t="s">
        <v>1781</v>
      </c>
      <c r="G8" s="16" t="s">
        <v>72</v>
      </c>
      <c r="H8" s="16"/>
      <c r="I8" s="16" t="s">
        <v>1782</v>
      </c>
    </row>
    <row r="9" customFormat="false" ht="23.25" hidden="false" customHeight="true" outlineLevel="0" collapsed="false">
      <c r="A9" s="16" t="s">
        <v>78</v>
      </c>
      <c r="B9" s="16" t="s">
        <v>1783</v>
      </c>
      <c r="C9" s="16" t="s">
        <v>1784</v>
      </c>
      <c r="D9" s="16" t="s">
        <v>73</v>
      </c>
      <c r="E9" s="16" t="s">
        <v>1780</v>
      </c>
      <c r="F9" s="16" t="s">
        <v>1785</v>
      </c>
      <c r="G9" s="16" t="s">
        <v>72</v>
      </c>
      <c r="H9" s="16"/>
      <c r="I9" s="16" t="s">
        <v>1782</v>
      </c>
    </row>
    <row r="10" customFormat="false" ht="57" hidden="false" customHeight="true" outlineLevel="0" collapsed="false">
      <c r="A10" s="16" t="s">
        <v>78</v>
      </c>
      <c r="B10" s="16" t="s">
        <v>161</v>
      </c>
      <c r="C10" s="16" t="s">
        <v>1786</v>
      </c>
      <c r="D10" s="16" t="s">
        <v>73</v>
      </c>
      <c r="E10" s="16" t="s">
        <v>1787</v>
      </c>
      <c r="F10" s="16" t="s">
        <v>1742</v>
      </c>
      <c r="G10" s="16" t="s">
        <v>71</v>
      </c>
      <c r="H10" s="16" t="s">
        <v>78</v>
      </c>
      <c r="I10" s="16" t="s">
        <v>1743</v>
      </c>
    </row>
    <row r="11" customFormat="false" ht="45.75" hidden="false" customHeight="true" outlineLevel="0" collapsed="false">
      <c r="A11" s="16" t="s">
        <v>331</v>
      </c>
      <c r="B11" s="16" t="s">
        <v>1788</v>
      </c>
      <c r="C11" s="16" t="s">
        <v>1789</v>
      </c>
      <c r="D11" s="16" t="s">
        <v>73</v>
      </c>
      <c r="E11" s="16" t="s">
        <v>1790</v>
      </c>
      <c r="F11" s="16" t="s">
        <v>1791</v>
      </c>
      <c r="G11" s="16" t="s">
        <v>1792</v>
      </c>
      <c r="H11" s="16"/>
      <c r="I11" s="16" t="s">
        <v>1793</v>
      </c>
    </row>
    <row r="12" customFormat="false" ht="79.5" hidden="false" customHeight="true" outlineLevel="0" collapsed="false">
      <c r="A12" s="16" t="s">
        <v>372</v>
      </c>
      <c r="B12" s="16" t="s">
        <v>469</v>
      </c>
      <c r="C12" s="16" t="s">
        <v>1794</v>
      </c>
      <c r="D12" s="16" t="s">
        <v>73</v>
      </c>
      <c r="E12" s="16" t="s">
        <v>1795</v>
      </c>
      <c r="F12" s="16" t="s">
        <v>1747</v>
      </c>
      <c r="G12" s="16" t="s">
        <v>72</v>
      </c>
      <c r="H12" s="16"/>
      <c r="I12" s="16" t="s">
        <v>1748</v>
      </c>
    </row>
    <row r="13" customFormat="false" ht="34.5" hidden="false" customHeight="true" outlineLevel="0" collapsed="false">
      <c r="A13" s="16" t="s">
        <v>372</v>
      </c>
      <c r="B13" s="16" t="s">
        <v>687</v>
      </c>
      <c r="C13" s="16" t="s">
        <v>1796</v>
      </c>
      <c r="D13" s="16" t="s">
        <v>73</v>
      </c>
      <c r="E13" s="16" t="s">
        <v>1797</v>
      </c>
      <c r="F13" s="16" t="s">
        <v>1750</v>
      </c>
      <c r="G13" s="16" t="s">
        <v>72</v>
      </c>
      <c r="H13" s="16"/>
      <c r="I13" s="16" t="s">
        <v>1751</v>
      </c>
    </row>
    <row r="14" customFormat="false" ht="102" hidden="false" customHeight="true" outlineLevel="0" collapsed="false">
      <c r="A14" s="16" t="s">
        <v>492</v>
      </c>
      <c r="B14" s="16" t="s">
        <v>410</v>
      </c>
      <c r="C14" s="16" t="s">
        <v>1798</v>
      </c>
      <c r="D14" s="16" t="s">
        <v>252</v>
      </c>
      <c r="E14" s="16" t="s">
        <v>1799</v>
      </c>
      <c r="F14" s="16" t="s">
        <v>1755</v>
      </c>
      <c r="G14" s="16" t="s">
        <v>1800</v>
      </c>
      <c r="H14" s="16" t="s">
        <v>492</v>
      </c>
      <c r="I14" s="16" t="s">
        <v>1801</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1" width="14"/>
    <col collapsed="false" customWidth="true" hidden="false" outlineLevel="0" max="3" min="2" style="1" width="18"/>
    <col collapsed="false" customWidth="true" hidden="false" outlineLevel="0" max="4" min="4" style="1" width="12"/>
    <col collapsed="false" customWidth="true" hidden="false" outlineLevel="0" max="5" min="5" style="1" width="15"/>
    <col collapsed="false" customWidth="true" hidden="false" outlineLevel="0" max="7" min="6" style="1" width="22"/>
    <col collapsed="false" customWidth="true" hidden="false" outlineLevel="0" max="8" min="8" style="1" width="46"/>
  </cols>
  <sheetData>
    <row r="1" customFormat="false" ht="15" hidden="false" customHeight="true" outlineLevel="0" collapsed="false">
      <c r="A1" s="19" t="s">
        <v>1802</v>
      </c>
      <c r="B1" s="19"/>
      <c r="C1" s="19"/>
      <c r="D1" s="19"/>
      <c r="E1" s="19"/>
      <c r="F1" s="19"/>
      <c r="G1" s="19"/>
      <c r="H1" s="19"/>
    </row>
    <row r="2" customFormat="false" ht="15" hidden="false" customHeight="true" outlineLevel="0" collapsed="false">
      <c r="A2" s="3" t="s">
        <v>1803</v>
      </c>
      <c r="B2" s="3"/>
      <c r="C2" s="3"/>
      <c r="D2" s="3"/>
      <c r="E2" s="3"/>
      <c r="F2" s="3"/>
      <c r="G2" s="3"/>
      <c r="H2" s="3"/>
    </row>
    <row r="4" customFormat="false" ht="23.25" hidden="false" customHeight="true" outlineLevel="0" collapsed="false">
      <c r="A4" s="20" t="s">
        <v>1759</v>
      </c>
      <c r="B4" s="20" t="s">
        <v>1804</v>
      </c>
      <c r="C4" s="20" t="s">
        <v>1805</v>
      </c>
      <c r="D4" s="20" t="s">
        <v>105</v>
      </c>
      <c r="E4" s="20" t="s">
        <v>1806</v>
      </c>
      <c r="F4" s="20" t="s">
        <v>1807</v>
      </c>
      <c r="G4" s="20" t="s">
        <v>1808</v>
      </c>
      <c r="H4" s="20" t="s">
        <v>1809</v>
      </c>
    </row>
    <row r="5" customFormat="false" ht="15" hidden="false" customHeight="true" outlineLevel="0" collapsed="false">
      <c r="A5" s="16" t="s">
        <v>84</v>
      </c>
      <c r="B5" s="16" t="n">
        <f aca="false">COUNTIF('Gmail Tracker'!$A$4:$A$500,$A5)</f>
        <v>2</v>
      </c>
      <c r="C5" s="16" t="n">
        <f aca="false">COUNTIFS('Gmail Tracker'!$A$4:$A$500,$A5,'Gmail Tracker'!$C$4:$C$500,"Email",'Gmail Tracker'!$G$4:$G$500,"&lt;&gt;Y")</f>
        <v>2</v>
      </c>
      <c r="D5" s="16" t="n">
        <f aca="false">COUNTIFS('Gmail Tracker'!$A$4:$A$500,$A5,'Gmail Tracker'!$G$4:$G$500,"Y")</f>
        <v>0</v>
      </c>
      <c r="E5" s="16" t="n">
        <f aca="false">COUNTIFS('Gmail Tracker'!$A$4:$A$500,$A5,'Gmail Tracker'!$C$4:$C$500,"Form")</f>
        <v>0</v>
      </c>
      <c r="F5" s="16" t="n">
        <f aca="false">COUNTIFS('Gmail Tracker'!$A$4:$A$500,$A5,'Gmail Tracker'!$H$4:$H$500,"Y")</f>
        <v>2</v>
      </c>
      <c r="G5" s="16" t="n">
        <f aca="false">COUNTIFS('Gmail Tracker'!$A$4:$A$500,$A5,'Gmail Tracker'!$M$4:$M$500,"Y")</f>
        <v>0</v>
      </c>
      <c r="H5" s="16" t="s">
        <v>1810</v>
      </c>
    </row>
    <row r="6" customFormat="false" ht="15" hidden="false" customHeight="true" outlineLevel="0" collapsed="false">
      <c r="A6" s="16" t="s">
        <v>91</v>
      </c>
      <c r="B6" s="16" t="n">
        <f aca="false">COUNTIF('Gmail Tracker'!$A$4:$A$500,$A6)</f>
        <v>8</v>
      </c>
      <c r="C6" s="16" t="n">
        <f aca="false">COUNTIFS('Gmail Tracker'!$A$4:$A$500,$A6,'Gmail Tracker'!$C$4:$C$500,"Email",'Gmail Tracker'!$G$4:$G$500,"&lt;&gt;Y")</f>
        <v>5</v>
      </c>
      <c r="D6" s="16" t="n">
        <f aca="false">COUNTIFS('Gmail Tracker'!$A$4:$A$500,$A6,'Gmail Tracker'!$G$4:$G$500,"Y")</f>
        <v>3</v>
      </c>
      <c r="E6" s="16" t="n">
        <f aca="false">COUNTIFS('Gmail Tracker'!$A$4:$A$500,$A6,'Gmail Tracker'!$C$4:$C$500,"Form")</f>
        <v>0</v>
      </c>
      <c r="F6" s="16" t="n">
        <f aca="false">COUNTIFS('Gmail Tracker'!$A$4:$A$500,$A6,'Gmail Tracker'!$H$4:$H$500,"Y")</f>
        <v>2</v>
      </c>
      <c r="G6" s="16" t="n">
        <f aca="false">COUNTIFS('Gmail Tracker'!$A$4:$A$500,$A6,'Gmail Tracker'!$M$4:$M$500,"Y")</f>
        <v>0</v>
      </c>
      <c r="H6" s="16" t="s">
        <v>1811</v>
      </c>
    </row>
    <row r="7" customFormat="false" ht="34.5" hidden="false" customHeight="true" outlineLevel="0" collapsed="false">
      <c r="A7" s="16" t="s">
        <v>78</v>
      </c>
      <c r="B7" s="16" t="n">
        <f aca="false">COUNTIF('Gmail Tracker'!$A$4:$A$500,$A7)</f>
        <v>52</v>
      </c>
      <c r="C7" s="16" t="n">
        <f aca="false">COUNTIFS('Gmail Tracker'!$A$4:$A$500,$A7,'Gmail Tracker'!$C$4:$C$500,"Email",'Gmail Tracker'!$G$4:$G$500,"&lt;&gt;Y")</f>
        <v>47</v>
      </c>
      <c r="D7" s="16" t="n">
        <f aca="false">COUNTIFS('Gmail Tracker'!$A$4:$A$500,$A7,'Gmail Tracker'!$G$4:$G$500,"Y")</f>
        <v>1</v>
      </c>
      <c r="E7" s="16" t="n">
        <f aca="false">COUNTIFS('Gmail Tracker'!$A$4:$A$500,$A7,'Gmail Tracker'!$C$4:$C$500,"Form")</f>
        <v>4</v>
      </c>
      <c r="F7" s="16" t="n">
        <f aca="false">COUNTIFS('Gmail Tracker'!$A$4:$A$500,$A7,'Gmail Tracker'!$H$4:$H$500,"Y")</f>
        <v>0</v>
      </c>
      <c r="G7" s="16" t="n">
        <f aca="false">COUNTIFS('Gmail Tracker'!$A$4:$A$500,$A7,'Gmail Tracker'!$M$4:$M$500,"Y")</f>
        <v>0</v>
      </c>
      <c r="H7" s="16" t="s">
        <v>1812</v>
      </c>
    </row>
    <row r="8" customFormat="false" ht="34.5" hidden="false" customHeight="true" outlineLevel="0" collapsed="false">
      <c r="A8" s="16" t="s">
        <v>331</v>
      </c>
      <c r="B8" s="16" t="n">
        <f aca="false">COUNTIF('Gmail Tracker'!$A$4:$A$500,$A8)</f>
        <v>12</v>
      </c>
      <c r="C8" s="16" t="n">
        <f aca="false">COUNTIFS('Gmail Tracker'!$A$4:$A$500,$A8,'Gmail Tracker'!$C$4:$C$500,"Email",'Gmail Tracker'!$G$4:$G$500,"&lt;&gt;Y")</f>
        <v>10</v>
      </c>
      <c r="D8" s="16" t="n">
        <f aca="false">COUNTIFS('Gmail Tracker'!$A$4:$A$500,$A8,'Gmail Tracker'!$G$4:$G$500,"Y")</f>
        <v>1</v>
      </c>
      <c r="E8" s="16" t="n">
        <f aca="false">COUNTIFS('Gmail Tracker'!$A$4:$A$500,$A8,'Gmail Tracker'!$C$4:$C$500,"Form")</f>
        <v>1</v>
      </c>
      <c r="F8" s="16" t="n">
        <f aca="false">COUNTIFS('Gmail Tracker'!$A$4:$A$500,$A8,'Gmail Tracker'!$H$4:$H$500,"Y")</f>
        <v>0</v>
      </c>
      <c r="G8" s="16" t="n">
        <f aca="false">COUNTIFS('Gmail Tracker'!$A$4:$A$500,$A8,'Gmail Tracker'!$M$4:$M$500,"Y")</f>
        <v>0</v>
      </c>
      <c r="H8" s="16" t="s">
        <v>1813</v>
      </c>
    </row>
    <row r="9" customFormat="false" ht="15" hidden="false" customHeight="true" outlineLevel="0" collapsed="false">
      <c r="A9" s="23" t="s">
        <v>1814</v>
      </c>
      <c r="B9" s="24" t="n">
        <f aca="false">SUM(B5:B8)</f>
        <v>74</v>
      </c>
      <c r="C9" s="24" t="n">
        <f aca="false">SUM(C5:C8)</f>
        <v>64</v>
      </c>
      <c r="D9" s="24" t="n">
        <f aca="false">SUM(D5:D8)</f>
        <v>5</v>
      </c>
      <c r="E9" s="24" t="n">
        <f aca="false">SUM(E5:E8)</f>
        <v>5</v>
      </c>
      <c r="F9" s="24" t="n">
        <f aca="false">SUM(F5:F8)</f>
        <v>4</v>
      </c>
      <c r="G9" s="24" t="n">
        <f aca="false">SUM(G5:G8)</f>
        <v>0</v>
      </c>
      <c r="H9" s="25"/>
    </row>
  </sheetData>
  <mergeCells count="2">
    <mergeCell ref="A1:H1"/>
    <mergeCell ref="A2:H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2026-09-03T05:08:02Z</dcterms:created>
  <dc:creator>openpyxl</dc:creator>
  <dc:description/>
  <dc:language>en-US</dc:language>
  <cp:lastModifiedBy/>
  <dcterms:modified xsi:type="dcterms:W3CDTF">2026-09-06T20:07:43Z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