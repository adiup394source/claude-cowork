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get Batch 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<sst xmlns="http://schemas.openxmlformats.org/spreadsheetml/2006/main" count="835" uniqueCount="409">
  <si>
    <t xml:space="preserve">WAIFF India — Target Batch 2 (102 researched sponsorship/organizer candidates)</t>
  </si>
  <si>
    <t xml:space="preserve">Sourced via live web research (Sept 2026), checked against section 4 exclusions (including JioStar, Eros/Eros International, ZEE5, Whistling Woods International, ByteDance/CapCut, and existing WAiFF partners). "Confidence: recalled" rows (orange) need a fresh check before you rely on the claim. Capacity and a named reachable contact are NOT yet verified for any row — that's what the four search formulas are for. Before contacting: run the searches, confirm reachability, then move the company into WAIFF_India_Outreach_Tracker.xlsx (Targets tab) as its one master row.</t>
  </si>
  <si>
    <t xml:space="preserve">#</t>
  </si>
  <si>
    <t xml:space="preserve">Company</t>
  </si>
  <si>
    <t xml:space="preserve">Priority Bucket</t>
  </si>
  <si>
    <t xml:space="preserve">HQ / Region</t>
  </si>
  <si>
    <t xml:space="preserve">Why targeted (research finding)</t>
  </si>
  <si>
    <t xml:space="preserve">Source URL</t>
  </si>
  <si>
    <t xml:space="preserve">Confidence</t>
  </si>
  <si>
    <t xml:space="preserve">LinkedIn search — Global</t>
  </si>
  <si>
    <t xml:space="preserve">LinkedIn search — India</t>
  </si>
  <si>
    <t xml:space="preserve">Google search — Global contact</t>
  </si>
  <si>
    <t xml:space="preserve">Google search — India contact</t>
  </si>
  <si>
    <t xml:space="preserve">Cross-checked against main tracker? (Y/N)</t>
  </si>
  <si>
    <t xml:space="preserve">Status</t>
  </si>
  <si>
    <t xml:space="preserve">Notes</t>
  </si>
  <si>
    <t xml:space="preserve">Runway</t>
  </si>
  <si>
    <t xml:space="preserve">Venture-funded AI tool company</t>
  </si>
  <si>
    <t xml:space="preserve">San Francisco, US</t>
  </si>
  <si>
    <t xml:space="preserve">Raised $315M (Feb 2026, led by General Atlantic) at $5.3B valuation for its Gen-4 AI video model already used in film/TV production</t>
  </si>
  <si>
    <t xml:space="preserve">https://techcrunch.com/2026/02/10/ai-video-startup-runway-raises-315m-at-5-3b-valuation-eyes-more-capable-world-models/</t>
  </si>
  <si>
    <t xml:space="preserve">verified</t>
  </si>
  <si>
    <t xml:space="preserve">N</t>
  </si>
  <si>
    <t xml:space="preserve">Sent - Email</t>
  </si>
  <si>
    <t xml:space="preserve">Pika Labs</t>
  </si>
  <si>
    <t xml:space="preserve">Palo Alto, US</t>
  </si>
  <si>
    <t xml:space="preserve">$80M Series B for its text/image-to-video generation platform, direct Runway competitor</t>
  </si>
  <si>
    <t xml:space="preserve">https://www.maginative.com/article/pika-labs-secures-80m-in-series-b-funding/</t>
  </si>
  <si>
    <t xml:space="preserve">LinkedIn only - no qualifying email/form</t>
  </si>
  <si>
    <t xml:space="preserve">Luma AI</t>
  </si>
  <si>
    <t xml:space="preserve">Raised $900M (Nov 2025) led by Saudi AI firm Humain, valuing it near $4B, for its Dream Machine/Ray video models</t>
  </si>
  <si>
    <t xml:space="preserve">https://www.cnbc.com/2025/11/19/luma-ai-raises-900-million-in-funding-led-by-saudi-ai-firm-humain.html</t>
  </si>
  <si>
    <t xml:space="preserve">Genmo</t>
  </si>
  <si>
    <t xml:space="preserve">NEA-backed AI video startup behind open-source Mochi 1 model built to rival Runway and Kling</t>
  </si>
  <si>
    <t xml:space="preserve">https://www.nea.com/blog/genmos-open-source-genai-model-aims-to-power-the-future-of-video</t>
  </si>
  <si>
    <t xml:space="preserve">Kuaishou Technology (Kling AI)</t>
  </si>
  <si>
    <t xml:space="preserve">Beijing, China</t>
  </si>
  <si>
    <t xml:space="preserve">Publicly listed tech giant whose Kling AI video model (now v3.0) is used globally by independent filmmakers and creators</t>
  </si>
  <si>
    <t xml:space="preserve">https://ir.kuaishou.com/news-releases/news-release-details/kling-ai-launches-30-model-ushering-era-where-everyone-can-be</t>
  </si>
  <si>
    <t xml:space="preserve">Shengshu Technology (Vidu)</t>
  </si>
  <si>
    <t xml:space="preserve">Alibaba led a $290M investment (Apr 2026) into Vidu's text-to-video "world model", a Kling/Runway rival</t>
  </si>
  <si>
    <t xml:space="preserve">https://www.cnbc.com/2026/04/10/alibaba-cloud-invests-world-model-ai-shengshu-vidu.html</t>
  </si>
  <si>
    <t xml:space="preserve">ElevenLabs</t>
  </si>
  <si>
    <t xml:space="preserve">London, UK</t>
  </si>
  <si>
    <t xml:space="preserve">$500M Series D (Feb 2026) at $11B valuation for its AI voice cloning/dubbing platform used widely in media production; also powers the Chroma Awards and Project Odyssey AI film competitions</t>
  </si>
  <si>
    <t xml:space="preserve">https://elevenlabs.io/blog/series-d</t>
  </si>
  <si>
    <t xml:space="preserve">Murf AI</t>
  </si>
  <si>
    <t xml:space="preserve">Bangalore, India</t>
  </si>
  <si>
    <t xml:space="preserve">Series A funding (~$10M) for its AI voiceover/synthetic speech platform used in video production workflows</t>
  </si>
  <si>
    <t xml:space="preserve">https://murf.ai/blog/series-a-announcement</t>
  </si>
  <si>
    <t xml:space="preserve">Deepdub</t>
  </si>
  <si>
    <t xml:space="preserve">Tel Aviv, Israel</t>
  </si>
  <si>
    <t xml:space="preserve">$20M Series A led by Insight Partners for AI dubbing tech that preserves actors' original voices across languages</t>
  </si>
  <si>
    <t xml:space="preserve">https://techcrunch.com/2022/02/10/deepdub-raises-20m-for-a-i-powered-dubbing-that-uses-actors-original-voices/</t>
  </si>
  <si>
    <t xml:space="preserve">Papercup</t>
  </si>
  <si>
    <t xml:space="preserve">$20M Series A backed by Sky for AI-generated humanized dubbing of video content</t>
  </si>
  <si>
    <t xml:space="preserve">https://techcrunch.com/2022/06/09/papercup-raises-20m-for-ai-that-automatically-dubs-videos/</t>
  </si>
  <si>
    <t xml:space="preserve">NeuralGarage</t>
  </si>
  <si>
    <t xml:space="preserve">Mumbai, India</t>
  </si>
  <si>
    <t xml:space="preserve">India-based visual-dubbing/lip-sync AI startup working with Bollywood productions, profiled by Forbes in 2025</t>
  </si>
  <si>
    <t xml:space="preserve">https://www.forbes.com/sites/swetakaushal/2025/06/15/this-indian-genai-startup-is-reshaping-dubbing-and-lip-sync/</t>
  </si>
  <si>
    <t xml:space="preserve">Rephrase.ai</t>
  </si>
  <si>
    <t xml:space="preserve">Launched "Rephrase Studio" enterprise text-to-video AI avatar platform, actively serving clients through 2025</t>
  </si>
  <si>
    <t xml:space="preserve">https://www.prweb.com/releases/rephraseai-formally-launches-rephrase-studio-with-ai-powered-text-to-video-for-the-enterprise-301946833.html</t>
  </si>
  <si>
    <t xml:space="preserve">Excluded - defunct (acquired by Adobe 2023)</t>
  </si>
  <si>
    <t xml:space="preserve">Gan.ai</t>
  </si>
  <si>
    <t xml:space="preserve">Sequoia India (Surge)-backed personalized AI video generation platform, $5.25M raised</t>
  </si>
  <si>
    <t xml:space="preserve">https://techstartups.com/2023/05/23/sequoia-india-backed-ai-startup-gan-ai-raises-5-25m-in-funding-for-its-ai-powered-video-platform/</t>
  </si>
  <si>
    <t xml:space="preserve">Suno</t>
  </si>
  <si>
    <t xml:space="preserve">Cambridge, US</t>
  </si>
  <si>
    <t xml:space="preserve">Raised $400M (Jun 2026) at $5.4B valuation, leading generative AI music platform</t>
  </si>
  <si>
    <t xml:space="preserve">https://variety.com/2026/digital/news/ai-music-suno-funding-round-400-million-5-4-billion-valuation-1236765727/</t>
  </si>
  <si>
    <t xml:space="preserve">Udio</t>
  </si>
  <si>
    <t xml:space="preserve">New York, US</t>
  </si>
  <si>
    <t xml:space="preserve">Suno's chief AI-music rival, backed by a16z; actively negotiating major-label licensing deals through 2026</t>
  </si>
  <si>
    <t xml:space="preserve">https://www.thesaasnews.com/news/udio-raises-10-million-in-seed-round/</t>
  </si>
  <si>
    <t xml:space="preserve">Synthesia</t>
  </si>
  <si>
    <t xml:space="preserve">$200M Series E (Oct 2025) at $4B valuation for AI avatar video generation used in corporate/media content</t>
  </si>
  <si>
    <t xml:space="preserve">https://www.synthesia.io/post/series-e-200-million-4-billion-valuation-future-work</t>
  </si>
  <si>
    <t xml:space="preserve">HeyGen</t>
  </si>
  <si>
    <t xml:space="preserve">Los Angeles, US</t>
  </si>
  <si>
    <t xml:space="preserve">$60M round valuing it at $500M for its AI avatar/video generation platform</t>
  </si>
  <si>
    <t xml:space="preserve">https://www.bloomberg.com/news/articles/2024-06-20/ai-video-startup-heygen-valued-at-500-million-in-funding-round</t>
  </si>
  <si>
    <t xml:space="preserve">D-ID</t>
  </si>
  <si>
    <t xml:space="preserve">$48M+ raised and acquired dubbing firm simpleshow for $60M; "Creative Reality" AI avatar video platform</t>
  </si>
  <si>
    <t xml:space="preserve">https://www.d-id.com/blog/d-id-closes-25-million-funding-round/</t>
  </si>
  <si>
    <t xml:space="preserve">Colossyan</t>
  </si>
  <si>
    <t xml:space="preserve">$22M Series A for its AI avatar video platform, direct competitor to Synthesia and HeyGen</t>
  </si>
  <si>
    <t xml:space="preserve">https://www.colossyan.com/posts/colossyans-series-a-announcement-a-leap-forward-with-22m-funding/</t>
  </si>
  <si>
    <t xml:space="preserve">Descript</t>
  </si>
  <si>
    <t xml:space="preserve">$50M Series C led by the OpenAI Startup Fund for its AI-powered audio/video editing tool</t>
  </si>
  <si>
    <t xml:space="preserve">https://www.descript.com/blog/article/all-new-descript-backed-by-openai-startup-fund</t>
  </si>
  <si>
    <t xml:space="preserve">No relevant sponsorship channel found - blocked</t>
  </si>
  <si>
    <t xml:space="preserve">OpusClip (Opus.pro)</t>
  </si>
  <si>
    <t xml:space="preserve">SoftBank Vision Fund-backed AI video repurposing/editing platform with $30M+ raised</t>
  </si>
  <si>
    <t xml:space="preserve">https://www.opus.pro/blog/opusclip-celebrates-30m-in-funding-and-the-launch-of-clipanything</t>
  </si>
  <si>
    <t xml:space="preserve">Captions (Mirage)</t>
  </si>
  <si>
    <t xml:space="preserve">Raised $75M (Mar 2026) at ~$500M valuation to build proprietary AI video-editing models</t>
  </si>
  <si>
    <t xml:space="preserve">https://techcrunch.com/2026/03/24/mirage-raises-75m-to-continue-building-models-for-its-ai-video-editing-app-captions/</t>
  </si>
  <si>
    <t xml:space="preserve">Topaz Labs</t>
  </si>
  <si>
    <t xml:space="preserve">Dallas, US</t>
  </si>
  <si>
    <t xml:space="preserve">Established, profitable maker of Topaz Video AI, an industry-standard AI video upscaling/enhancement tool used in post-production</t>
  </si>
  <si>
    <t xml:space="preserve">https://www.topazlabs.com/topaz-video</t>
  </si>
  <si>
    <t xml:space="preserve">Ideogram</t>
  </si>
  <si>
    <t xml:space="preserve">Toronto, Canada</t>
  </si>
  <si>
    <t xml:space="preserve">$80M Series A for its AI text-to-image generation platform, a Midjourney competitor</t>
  </si>
  <si>
    <t xml:space="preserve">https://www.bloomberg.com/news/articles/2024-02-28/startup-ideogram-raises-80-million-for-ai-image-generation</t>
  </si>
  <si>
    <t xml:space="preserve">Black Forest Labs</t>
  </si>
  <si>
    <t xml:space="preserve">Freiburg, Germany</t>
  </si>
  <si>
    <t xml:space="preserve">$300M Series B at $3.25B valuation; makers of the FLUX image models used by Adobe, Canva and Meta</t>
  </si>
  <si>
    <t xml:space="preserve">https://siliconangle.com/2025/12/01/open-source-image-generator-startup-black-forest-labs-raises-300m/</t>
  </si>
  <si>
    <t xml:space="preserve">Stability AI</t>
  </si>
  <si>
    <t xml:space="preserve">$76M raised (Aug 2026) backed by Universal, Sony and Warner; makers of Stable Diffusion/Stable Video Diffusion</t>
  </si>
  <si>
    <t xml:space="preserve">https://techcrunch.com/2026/08/25/stability-ai-maker-of-image-generator-stable-diffusion-raises-76-million-in-fresh-funding/</t>
  </si>
  <si>
    <t xml:space="preserve">Krea AI</t>
  </si>
  <si>
    <t xml:space="preserve">$83M raised at ~$500M valuation for its unified generative-AI creative tools platform</t>
  </si>
  <si>
    <t xml:space="preserve">https://techcrunch.com/2025/04/07/kreas-founders-snubbed-postgrad-grants-from-the-king-of-spain-to-build-their-ai-startup-now-its-valued-at-500m/</t>
  </si>
  <si>
    <t xml:space="preserve">Photoroom</t>
  </si>
  <si>
    <t xml:space="preserve">Paris, France</t>
  </si>
  <si>
    <t xml:space="preserve">$43M Series B at $500M valuation for its AI photo/product-image editing platform</t>
  </si>
  <si>
    <t xml:space="preserve">https://sifted.eu/articles/photoroom-43m-series-b</t>
  </si>
  <si>
    <t xml:space="preserve">Move AI</t>
  </si>
  <si>
    <t xml:space="preserve">$10M seed for markerless AI motion capture from ordinary video, used in animation and VFX pipelines</t>
  </si>
  <si>
    <t xml:space="preserve">https://venturebeat.com/ai/3d-motion-capture-app-move-ai-raises-10m-in-seed-funding</t>
  </si>
  <si>
    <t xml:space="preserve">Cuebric</t>
  </si>
  <si>
    <t xml:space="preserve">$23M raised for its generative-AI virtual production/background tool, showcased at NAB and with a Cannes Lions presence</t>
  </si>
  <si>
    <t xml:space="preserve">https://www.startuphub.ai/startups/cuebric</t>
  </si>
  <si>
    <t xml:space="preserve">No relevant sponsorship channel found - form SSL broken, LinkedIn contacts unconfirmed</t>
  </si>
  <si>
    <t xml:space="preserve">NVIDIA</t>
  </si>
  <si>
    <t xml:space="preserve">India-operating hardware &amp; consumer brand</t>
  </si>
  <si>
    <t xml:space="preserve">Santa Clara, US (India: Bengaluru/Gurugram)</t>
  </si>
  <si>
    <t xml:space="preserve">Joined a $2B India Deep Tech Alliance to mentor AI startups (Nov 2025) and hosts its own India-specific AI Summit event series</t>
  </si>
  <si>
    <t xml:space="preserve">https://www.cnbc.com/2025/11/04/nvidia-joins-2-billion-india-deep-tech-alliance-to-mentor-ai-startups.html</t>
  </si>
  <si>
    <t xml:space="preserve">AMD</t>
  </si>
  <si>
    <t xml:space="preserve">Santa Clara, US (India: Bengaluru)</t>
  </si>
  <si>
    <t xml:space="preserve">Operates its largest global chip design center in Bengaluru, opened 2023, housing 3,000+ engineers</t>
  </si>
  <si>
    <t xml:space="preserve">https://www.amd.com/en/newsroom/press-releases/2023-11-27-amd-inaugurates-its-largest-global-design-center-in-india.html</t>
  </si>
  <si>
    <t xml:space="preserve">Draft ready - blocked by reCAPTCHA, needs manual submit</t>
  </si>
  <si>
    <t xml:space="preserve">Intel</t>
  </si>
  <si>
    <t xml:space="preserve">Santa Clara, US (India: Bengaluru GCC)</t>
  </si>
  <si>
    <t xml:space="preserve">Runs "Intel Unnati" community/education programs and sponsors AI hackathons (e.g. IEEE INDICON) inside India</t>
  </si>
  <si>
    <t xml:space="preserve">https://www.intel.in/content/www/in/en/corporate/unnati/community-program.html</t>
  </si>
  <si>
    <t xml:space="preserve">Qualcomm</t>
  </si>
  <si>
    <t xml:space="preserve">San Diego, US (India offices)</t>
  </si>
  <si>
    <t xml:space="preserve">Ran a nationwide campaign partnering with India's music, film and photography talent to showcase Snapdragon-powered creative tools</t>
  </si>
  <si>
    <t xml:space="preserve">https://theprint.in/ani-press-releases/qualcomm-collaborates-with-countrys-top-talents-in-music-films-and-photography-to-help-unleash-the-dreams-of-millions-across-the-country/1688772/</t>
  </si>
  <si>
    <t xml:space="preserve">Sony India</t>
  </si>
  <si>
    <t xml:space="preserve">Tokyo, Japan (India subsidiary)</t>
  </si>
  <si>
    <t xml:space="preserve">Runs "Sony Alpha Community India" with regular filmmaker/photographer events plus the global Sony Future Filmmaker Awards program</t>
  </si>
  <si>
    <t xml:space="preserve">https://alphacommunity.in/events/</t>
  </si>
  <si>
    <t xml:space="preserve">Canon India</t>
  </si>
  <si>
    <t xml:space="preserve">Launched the "India In Motion" creator movement and unveiled its EOS C50 creator-to-cinema camera ecosystem at Broadcast India Show 2025</t>
  </si>
  <si>
    <t xml:space="preserve">https://m.thewire.in/article/ptiprnews/canon-india-debuts-eos-c50-and-a-complete-creator-to-cinema-video-ecosystem-at-broadcast-india-show-2025</t>
  </si>
  <si>
    <t xml:space="preserve">Nikon India / RED Digital Cinema</t>
  </si>
  <si>
    <t xml:space="preserve">Tokyo, Japan (India subsidiary; RED acquired 2024)</t>
  </si>
  <si>
    <t xml:space="preserve">Nikon India runs the "Wedding Film Awards" (4th season, 2024) for Indian filmmakers, and Nikon completed its RED Digital Cinema acquisition, jointly launching the Nikon ZR 6K cinema camera</t>
  </si>
  <si>
    <t xml:space="preserve">https://www.thehansindia.com/business/wedding-film-awards-2024-nikon-india-celebrates-the-art-of-wedding-filmmaking-in-its-fourth-season-916570</t>
  </si>
  <si>
    <t xml:space="preserve">Fujifilm India</t>
  </si>
  <si>
    <t xml:space="preserve">Opened India's first "Fujifilm House of Photography" in Mumbai and ran the "X-Stories of India" digital filmmaker campaign shot entirely on its cameras</t>
  </si>
  <si>
    <t xml:space="preserve">https://www.fujifilm.com/in/en/news/Fujifilm-India-unveils-digital-Campaign-X-Stories-of-India-exclusively-shot-on-Fujifilm-Digital-Camera</t>
  </si>
  <si>
    <t xml:space="preserve">Panasonic (Lumix) India</t>
  </si>
  <si>
    <t xml:space="preserve">Osaka, Japan (India subsidiary)</t>
  </si>
  <si>
    <t xml:space="preserve">Launched LUMIX S1II/S1IIE cinema cameras in India (2026) explicitly positioned to "empower creators," with a dedicated Lumix India channel</t>
  </si>
  <si>
    <t xml:space="preserve">https://www.panasonic.com/in/corporate/news/articles/panasonic-launches-lumix-s1ii-s1iie-in-india-to-empower-creators-with-pro-level-photo-and-video-performance.html</t>
  </si>
  <si>
    <t xml:space="preserve">Sennheiser India</t>
  </si>
  <si>
    <t xml:space="preserve">Wedemark, Germany (India storefront/support site)</t>
  </si>
  <si>
    <t xml:space="preserve">Maintains a dedicated India e-commerce/support domain and a specific "Filmmaking" audio product line</t>
  </si>
  <si>
    <t xml:space="preserve">https://www.sennheiser.com/en-us/catalog/applications/filmmaking</t>
  </si>
  <si>
    <t xml:space="preserve">recalled</t>
  </si>
  <si>
    <t xml:space="preserve">Y</t>
  </si>
  <si>
    <t xml:space="preserve">Duplicate - skip</t>
  </si>
  <si>
    <t xml:space="preserve">Already directly emailed by Aditya 2 Sep 2026 as "Sennheiser" (outside this tracker) — see Gmail Tracker.</t>
  </si>
  <si>
    <t xml:space="preserve">Harman International (JBL)</t>
  </si>
  <si>
    <t xml:space="preserve">Stamford, US (India office; Samsung-owned)</t>
  </si>
  <si>
    <t xml:space="preserve">Signed A.R. Rahman as brand ambassador for a dedicated JBL India campaign and sponsors IPL cricket teams for audio</t>
  </si>
  <si>
    <t xml:space="preserve">https://news.harman.com/releases/harman-signs-indian-music-icon-ar-rahman-as-brand-ambassador-for-jblR-india-brand-campaign</t>
  </si>
  <si>
    <t xml:space="preserve">boAt</t>
  </si>
  <si>
    <t xml:space="preserve">Gurugram, India</t>
  </si>
  <si>
    <t xml:space="preserve">India's largest homegrown audio/wearables brand, built through large-scale celebrity and influencer sponsorship campaigns</t>
  </si>
  <si>
    <t xml:space="preserve">https://www.thethrive.in/learn/marketing/how-boats-marketing-strategy-captured-the-indian-market/</t>
  </si>
  <si>
    <t xml:space="preserve">Zebronics</t>
  </si>
  <si>
    <t xml:space="preserve">Chennai, India</t>
  </si>
  <si>
    <t xml:space="preserve">Habitual India event sponsor (cricket match sponsorships) and signed Janhvi Kapoor as brand ambassador in 2025 for its 25th-anniversary campaign</t>
  </si>
  <si>
    <t xml:space="preserve">https://www.campaignindia.in/article/zebronics-gets-janhvi-kapoor-as-its-brand-ambassador/477463</t>
  </si>
  <si>
    <t xml:space="preserve">Noise</t>
  </si>
  <si>
    <t xml:space="preserve">India's leading smartwatch/wearables brand, showcased "Made in India" wearables at CES 2025, showing budget for major event presence</t>
  </si>
  <si>
    <t xml:space="preserve">https://www.prnewswire.com/news-releases/noise-globally-leading-smartwatch-brand-to-debut-at-ces-2025-with-made-in-india-wearable-innovations-302337280.html</t>
  </si>
  <si>
    <t xml:space="preserve">LinkedIn only - form unreachable this session</t>
  </si>
  <si>
    <t xml:space="preserve">Dell Technologies India</t>
  </si>
  <si>
    <t xml:space="preserve">Round Rock, US (India: Bengaluru/Hyderabad)</t>
  </si>
  <si>
    <t xml:space="preserve">Launched new AI-powered Precision workstation lineup for India's professional/creative workforce at Dell Technologies Forum 2026</t>
  </si>
  <si>
    <t xml:space="preserve">https://digitalterminal.in/launchpad/dell-launches-ai-powered-pro-precision-workstations-for-professional-workforce-in-india</t>
  </si>
  <si>
    <t xml:space="preserve">ASUS India</t>
  </si>
  <si>
    <t xml:space="preserve">Taipei, Taiwan (India subsidiary)</t>
  </si>
  <si>
    <t xml:space="preserve">Launched a 2026 "Creator Line-up" in India including a ProArt GoPro Edition laptop aimed squarely at content creators</t>
  </si>
  <si>
    <t xml:space="preserve">https://www.indiatvnews.com/technology/news/asus-india-launches-2026-creator-line-up-with-proart-px13-rog-flow-z13-kjp-and-tuf-gaming-a14-go-official-2026-02-26-1031795</t>
  </si>
  <si>
    <t xml:space="preserve">Lenovo India</t>
  </si>
  <si>
    <t xml:space="preserve">Beijing/Morrisville (India subsidiary)</t>
  </si>
  <si>
    <t xml:space="preserve">Maintains a dedicated public "Sponsorships" page on its India site, signaling an institutional process for approving event sponsorships</t>
  </si>
  <si>
    <t xml:space="preserve">https://www.lenovo.com/in/en/about/sponsorships/</t>
  </si>
  <si>
    <t xml:space="preserve">Western Digital (SanDisk Professional)</t>
  </si>
  <si>
    <t xml:space="preserve">San Jose, US (India operations)</t>
  </si>
  <si>
    <t xml:space="preserve">Partnered directly with Bollywood film "Darlings" and launched SanDisk Professional storage aimed at India's content creators</t>
  </si>
  <si>
    <t xml:space="preserve">https://www.mediainfoline.com/alliances/western-digital-darlings</t>
  </si>
  <si>
    <t xml:space="preserve">Samsung India</t>
  </si>
  <si>
    <t xml:space="preserve">Suwon, South Korea (India subsidiary)</t>
  </si>
  <si>
    <t xml:space="preserve">Ran the nationwide #WithGalaxy photography campaign (2 Guinness World Records) and partnered with filmmakers to shoot movies entirely on Galaxy phones</t>
  </si>
  <si>
    <t xml:space="preserve">https://news.samsung.com/in/samsung-sets-two-guinness-world-records-with-its-india-withgalaxy-photography-campaign</t>
  </si>
  <si>
    <t xml:space="preserve">Krutrim AI (Ola Krutrim)</t>
  </si>
  <si>
    <t xml:space="preserve">Indian AI infrastructure</t>
  </si>
  <si>
    <t xml:space="preserve">Bengaluru, India</t>
  </si>
  <si>
    <t xml:space="preserve">India's first GenAI unicorn ($1B valuation) pivoted to an "AI-first" sovereign GPU cloud in 2026 and posted its first profit</t>
  </si>
  <si>
    <t xml:space="preserve">https://techcrunch.com/2026/05/05/indias-first-genai-unicorn-shifts-to-cloud-services-as-ai-model-ambitions-face-reality/</t>
  </si>
  <si>
    <t xml:space="preserve">Sarvam AI</t>
  </si>
  <si>
    <t xml:space="preserve">Building India's first indigenous LLM backed by 40,000 GPUs under the govt's IndiaAI Mission; govt considering taking a minority stake</t>
  </si>
  <si>
    <t xml:space="preserve">https://www.medianama.com/2026/06/223-govt-minority-stake-sarvam-indiaai-mission/</t>
  </si>
  <si>
    <t xml:space="preserve">Yotta Data Services</t>
  </si>
  <si>
    <t xml:space="preserve">Navi Mumbai, India</t>
  </si>
  <si>
    <t xml:space="preserve">Named Frost &amp; Sullivan's 2026 "Indian Company of the Year" for sovereign AI infrastructure; runs NVIDIA GPU-based "Shakti Cloud"</t>
  </si>
  <si>
    <t xml:space="preserve">https://www.datacenterdynamics.com/en/news/yotta-data-services-launches-nvidia-gpu-based-cloud-in-india/</t>
  </si>
  <si>
    <t xml:space="preserve">E2E Networks</t>
  </si>
  <si>
    <t xml:space="preserve">New Delhi, India</t>
  </si>
  <si>
    <t xml:space="preserve">BSE/NSE-listed GPU cloud provider; FY26 results show heavy ongoing investment in AI cloud infrastructure (H100/H200 offerings)</t>
  </si>
  <si>
    <t xml:space="preserve">https://inc42.com/buzz/ai-cloud-service-provider-e2e-networks-debuts-on-bse-mainboard/</t>
  </si>
  <si>
    <t xml:space="preserve">Netweb Technologies</t>
  </si>
  <si>
    <t xml:space="preserve">Faridabad, India</t>
  </si>
  <si>
    <t xml:space="preserve">Listed "Make in India" AI server maker; secured a ₹450 crore order for NVIDIA-based Tyrone AI GPU systems in 2026</t>
  </si>
  <si>
    <t xml:space="preserve">https://www.indiainfoline.com/news/companies/netweb-technologies-secures-450-crore-order-for-tyrone-ai-gpu-systems</t>
  </si>
  <si>
    <t xml:space="preserve">CtrlS Datacenters</t>
  </si>
  <si>
    <t xml:space="preserve">Hyderabad, India</t>
  </si>
  <si>
    <t xml:space="preserve">Major Indian data-center operator building a 40-acre AI-ready campus near Hyderabad with high-density GPU infrastructure</t>
  </si>
  <si>
    <t xml:space="preserve">https://www.datacenterdynamics.com/en/news/ctrls-to-build-40-acre-data-center-campus-near-hyderabad-india/</t>
  </si>
  <si>
    <t xml:space="preserve">Zoho Corporation</t>
  </si>
  <si>
    <t xml:space="preserve">Bootstrapped, profitable ($1B+ revenue) enterprise SaaS giant; launched "Zia Agents" autonomous AI platform across its full product suite in 2025</t>
  </si>
  <si>
    <t xml:space="preserve">https://www.businesswire.com/news/home/20250204066995/en/Zoho-Corporation-Announces-Zia-Agents-AI-Platform-Supporting-Autonomous-Agents-Across-Organizations-Broad-Portfolio</t>
  </si>
  <si>
    <t xml:space="preserve">Already directly emailed by Aditya 2 Sep 2026 (outside this tracker) — see Gmail Tracker.</t>
  </si>
  <si>
    <t xml:space="preserve">Fractal Analytics</t>
  </si>
  <si>
    <t xml:space="preserve">India's first AI unicorn (TPG-backed, $360M round); filed for a $560M+ IPO in 2025/26 as an enterprise AI/analytics leader</t>
  </si>
  <si>
    <t xml:space="preserve">https://www.bloomberg.com/news/articles/2025-08-12/india-s-first-ai-unicorn-fractal-files-for-560-million-ipo</t>
  </si>
  <si>
    <t xml:space="preserve">Sent - Form</t>
  </si>
  <si>
    <t xml:space="preserve">Quantiphi</t>
  </si>
  <si>
    <t xml:space="preserve">AI/ML solutions provider and deep Google Cloud AI partner, showcased at Google Cloud Next 2026 for "AI-first" enterprise transformation work</t>
  </si>
  <si>
    <t xml:space="preserve">https://siliconangle.com/2026/04/20/phi-moments-google-cloud-next-ai-first-digital-phimomentsatnext/</t>
  </si>
  <si>
    <t xml:space="preserve">Uniphore</t>
  </si>
  <si>
    <t xml:space="preserve">Chennai-origin / Palo Alto dual HQ</t>
  </si>
  <si>
    <t xml:space="preserve">Enterprise conversational-AI platform ("AI coworkers") that raised a $260M Series F backed by NVIDIA and Snowflake</t>
  </si>
  <si>
    <t xml:space="preserve">https://www.cmswire.com/customer-experience/tech-giants-back-uniphores-260m-series-f-for-enterprise-ai-platform/</t>
  </si>
  <si>
    <t xml:space="preserve">Yellow.ai</t>
  </si>
  <si>
    <t xml:space="preserve">Bengaluru / San Mateo dual HQ</t>
  </si>
  <si>
    <t xml:space="preserve">Conversational AI platform (formerly Yellow Messenger) with ~$500M valuation and ~$79.5M ARR, backed by Lightspeed, WestBridge and others</t>
  </si>
  <si>
    <t xml:space="preserve">https://inc42.com/company/yellow-ai/funding/</t>
  </si>
  <si>
    <t xml:space="preserve">CoRover.ai</t>
  </si>
  <si>
    <t xml:space="preserve">Maker of "BharatGPT" conversational AI; received investment from HDFC Bank and reports a ₹100 crore revenue pipeline</t>
  </si>
  <si>
    <t xml:space="preserve">https://www.businessworld.in/article/rs-100-cr-pipeline-bharatgpt-creator-coroverai-increases-focus-on-revenue-hiring-521262</t>
  </si>
  <si>
    <t xml:space="preserve">Gnani.ai</t>
  </si>
  <si>
    <t xml:space="preserve">Voice-first agentic AI startup that raised a $10M Series B led by Aavishkaar Capital in March 2026 to expand globally</t>
  </si>
  <si>
    <t xml:space="preserve">https://www.deccanherald.com/india/karnataka/bengaluru/bengaluru-based-voice-first-agentic-ai-startup-gnaniai-raises-10-million-3950735</t>
  </si>
  <si>
    <t xml:space="preserve">Innovaccer</t>
  </si>
  <si>
    <t xml:space="preserve">Noida-origin / San Francisco dual HQ</t>
  </si>
  <si>
    <t xml:space="preserve">Healthcare AI/cloud platform unicorn ($3.45B valuation) that closed a $275M Series F to build out AI and cloud capabilities</t>
  </si>
  <si>
    <t xml:space="preserve">https://www.fiercehealthcare.com/health-tech/innovaccer-clinches-275m-series-f-funding-build-out-ai-cloud-capabilities</t>
  </si>
  <si>
    <t xml:space="preserve">Not yet cross-checked</t>
  </si>
  <si>
    <t xml:space="preserve">Netcore Cloud</t>
  </si>
  <si>
    <t xml:space="preserve">AI-powered martech/customer-engagement platform, named to G2's 2026 Best Software Awards as an APAC/India martech leader</t>
  </si>
  <si>
    <t xml:space="preserve">https://www.prnewswire.com/in/news-releases/the-martech-reset-lessons-from-2025-that-will-shape-how-cmos-invest-in-2026-opines-kalpit-jain-ceo-netcore-cloud-302629406.html</t>
  </si>
  <si>
    <t xml:space="preserve">Amagi</t>
  </si>
  <si>
    <t xml:space="preserve">Bengaluru / New York dual HQ</t>
  </si>
  <si>
    <t xml:space="preserve">AI-driven cloud broadcast/streaming media-tech unicorn that raised over $100M from General Atlantic in a unicorn round</t>
  </si>
  <si>
    <t xml:space="preserve">https://www.amagi.com/newsroom/amagi-raises-over-100-million-from-general-atlantic-to-propel-growth-as-next-generation-media-technology-platform</t>
  </si>
  <si>
    <t xml:space="preserve">Darwinbox</t>
  </si>
  <si>
    <t xml:space="preserve">HR-tech unicorn advancing AI-native HRMS products; raised $140M specifically to build out AI-powered solutions</t>
  </si>
  <si>
    <t xml:space="preserve">https://www.entrepreneur.com/en-in/news-and-trends/hr-tech-unicorn-darwinbox-raises-usd-140-mn-to-advance/488003</t>
  </si>
  <si>
    <t xml:space="preserve">Whatfix</t>
  </si>
  <si>
    <t xml:space="preserve">Bengaluru / San Francisco dual HQ</t>
  </si>
  <si>
    <t xml:space="preserve">Digital adoption platform unicorn embedding AI across its product; launched an AI-powered healthcare/EHR suite in 2026</t>
  </si>
  <si>
    <t xml:space="preserve">https://www.prnewswire.com/news-releases/whatfix-doubles-down-on-healthcare-with-ai-powered-suite-to-erase-the-ehr-burden-and-enable-clinicians-to-focus-on-patient-care-302683610.html</t>
  </si>
  <si>
    <t xml:space="preserve">Tata Communications</t>
  </si>
  <si>
    <t xml:space="preserve">Major Indian telco/cloud operator building NVIDIA-powered "AI Data Centers" and an AI-Ready connectivity suite (ThreadSpan) for enterprise AI workloads</t>
  </si>
  <si>
    <t xml:space="preserve">https://www.tatacommunications.com/knowledge-base/cloud-ai/ai-data-center</t>
  </si>
  <si>
    <t xml:space="preserve">Freshworks</t>
  </si>
  <si>
    <t xml:space="preserve">Chennai-origin / San Mateo dual HQ (NASDAQ: FRSH)</t>
  </si>
  <si>
    <t xml:space="preserve">Publicly listed enterprise SaaS company that launched "Freddy AI Agent Studio" and MCP Gateway for autonomous customer/employee-service AI agents in 2026</t>
  </si>
  <si>
    <t xml:space="preserve">https://siliconangle.com/2026/05/14/freshworks-unveils-freddy-ai-agent-studio-mcp-gateway-freshservice/</t>
  </si>
  <si>
    <t xml:space="preserve">PVR INOX Ltd</t>
  </si>
  <si>
    <t xml:space="preserve">Media, VFX and exhibition</t>
  </si>
  <si>
    <t xml:space="preserve">Mumbai/Gurugram, India</t>
  </si>
  <si>
    <t xml:space="preserve">India's largest multiplex chain, publicly targeting ~2,000 screens by 2026 with Tier-II/III expansion. Independent (listed, PVR-INOX merger entity)</t>
  </si>
  <si>
    <t xml:space="preserve">https://www.business-standard.com/companies/news/pvr-inox-to-have-2-000-screens-by-2026-executive-director-sanjeev-bijli-124112200981_1.html</t>
  </si>
  <si>
    <t xml:space="preserve">LinkedIn only - no qualifying email/form found (site blocked)</t>
  </si>
  <si>
    <t xml:space="preserve">DNEG India</t>
  </si>
  <si>
    <t xml:space="preserve">Mumbai &amp; Chandigarh (global HQ London)</t>
  </si>
  <si>
    <t xml:space="preserve">Oscar-winning VFX major founded by Indian entrepreneur Namit Malhotra, currently producing India's "Ramayana" with heavy India-based VFX crews. DNEG Group (independent)</t>
  </si>
  <si>
    <t xml:space="preserve">https://deadline.com/2024/06/dneg-namit-malhotra-interview-hollywood-garfield-ramayana-1235978098/</t>
  </si>
  <si>
    <t xml:space="preserve">Sent - Email (Organizer track)</t>
  </si>
  <si>
    <t xml:space="preserve">Red Chillies Entertainment (Redchillies.vfx)</t>
  </si>
  <si>
    <t xml:space="preserve">Shah Rukh Khan-owned studio with an in-house VFX division that has delivered effects for major Bollywood tentpoles. Independent (SRK-owned)</t>
  </si>
  <si>
    <t xml:space="preserve">https://redchilliesvfx.com/about-us</t>
  </si>
  <si>
    <t xml:space="preserve">Anibrain</t>
  </si>
  <si>
    <t xml:space="preserve">Pune, India</t>
  </si>
  <si>
    <t xml:space="preserve">VFX/animation studio with credits on major international film and streaming projects, active recruiter and studio operator. Independent</t>
  </si>
  <si>
    <t xml:space="preserve">https://anibrain.com/</t>
  </si>
  <si>
    <t xml:space="preserve">LinkedIn only - no verifiable recent fact, not researched enough to email</t>
  </si>
  <si>
    <t xml:space="preserve">Tata Elxsi Visual Computing Labs</t>
  </si>
  <si>
    <t xml:space="preserve">VFX arm of Tata Elxsi that delivered effects for Yash Raj's "Ek Tha Tiger" and "Neerja," award-winning animation/VFX unit. Tata Group (not excluded)</t>
  </si>
  <si>
    <t xml:space="preserve">https://www.animationxpress.com/latest-news/visual-computing-labs-the-arm-of-tata-elxsi-creates-vfx-for-neerja/</t>
  </si>
  <si>
    <t xml:space="preserve">LinkedIn only - only general contact form found</t>
  </si>
  <si>
    <t xml:space="preserve">Prana Studios</t>
  </si>
  <si>
    <t xml:space="preserve">India-based VFX studio that delivered roughly 800 VFX shots for HBO's "Game of Thrones". Independent</t>
  </si>
  <si>
    <t xml:space="preserve">https://animationxpress.com/latest-news/mumbai-based-prana-studios-delivers-800-vfx-shots-for-game-of-thrones/</t>
  </si>
  <si>
    <t xml:space="preserve">Excluded - domain lapsed, could not verify company is active</t>
  </si>
  <si>
    <t xml:space="preserve">Cinepolis India</t>
  </si>
  <si>
    <t xml:space="preserve">Mumbai, India (Mexican parent)</t>
  </si>
  <si>
    <t xml:space="preserve">Cinema chain actively expanding in India, reported plans to grow toward 1,000 screens despite mall-supply constraints. Cinepolis (Mexico) — not excluded</t>
  </si>
  <si>
    <t xml:space="preserve">https://www.business-standard.com/companies/news/shortage-of-malls-slows-cinepolis-plan-for-1-000-screens-in-india-124090800441_1.html</t>
  </si>
  <si>
    <t xml:space="preserve">LinkedIn only - only generic feedback form found</t>
  </si>
  <si>
    <t xml:space="preserve">Miraj Cinemas</t>
  </si>
  <si>
    <t xml:space="preserve">Udaipur, India</t>
  </si>
  <si>
    <t xml:space="preserve">Fast-growing multiplex chain under the Miraj Group, active franchise/expansion operations across India. Miraj Group (not excluded)</t>
  </si>
  <si>
    <t xml:space="preserve">https://www.mirajgroup.in/miraj-cinemas.html</t>
  </si>
  <si>
    <t xml:space="preserve">LinkedIn only - no email or partnerships page found</t>
  </si>
  <si>
    <t xml:space="preserve">Yash Raj Films</t>
  </si>
  <si>
    <t xml:space="preserve">Major legacy Hindi film studio and production banner still producing tentpole releases. Independent (Chopra family)</t>
  </si>
  <si>
    <t xml:space="preserve">https://www.yashrajfilms.com/divisions/yrf-production</t>
  </si>
  <si>
    <t xml:space="preserve">Form pending - official Brand Partnerships form, needs live submit</t>
  </si>
  <si>
    <t xml:space="preserve">Applause Entertainment</t>
  </si>
  <si>
    <t xml:space="preserve">Aditya Birla Group's content studio, produced recent shows like "Nyaya" (2024), active streaming/film content producer. Aditya Birla Group (not excluded)</t>
  </si>
  <si>
    <t xml:space="preserve">https://variety.com/2024/tv/news/applause-entertainment-nyaya-sameer-nair-1236107465/</t>
  </si>
  <si>
    <t xml:space="preserve">DVV Entertainment</t>
  </si>
  <si>
    <t xml:space="preserve">Telugu production house behind the global blockbuster "RRR". Independent</t>
  </si>
  <si>
    <t xml:space="preserve">https://en.wikipedia.org/wiki/RRR</t>
  </si>
  <si>
    <t xml:space="preserve">No relevant channel found - social media only, blocked</t>
  </si>
  <si>
    <t xml:space="preserve">Mythri Movie Makers</t>
  </si>
  <si>
    <t xml:space="preserve">Telugu production house behind "Pushpa: The Rise" and "Pushpa 2: The Rule". Independent</t>
  </si>
  <si>
    <t xml:space="preserve">https://en.wikipedia.org/wiki/Pushpa_2:_The_Rule</t>
  </si>
  <si>
    <t xml:space="preserve">Wizcraft International Entertainment</t>
  </si>
  <si>
    <t xml:space="preserve">Leading Indian event management company that organizes the IIFA Awards, a habitual large-scale entertainment-event sponsor/organizer. Independent</t>
  </si>
  <si>
    <t xml:space="preserve">https://en.wikipedia.org/wiki/3rd_IIFA_Utsavam</t>
  </si>
  <si>
    <t xml:space="preserve">Ramoji Film City</t>
  </si>
  <si>
    <t xml:space="preserve">Guinness-recognized world's largest integrated film studio complex, hosts productions and large-scale events. Ramoji Group (not excluded)</t>
  </si>
  <si>
    <t xml:space="preserve">https://www.ramojifilmcity.com/film-studio/</t>
  </si>
  <si>
    <t xml:space="preserve">Lyca Productions</t>
  </si>
  <si>
    <t xml:space="preserve">Tamil production house behind the "Enthiran/2.0" franchise, among South India's highest-budget producers. Independent</t>
  </si>
  <si>
    <t xml:space="preserve">https://en.wikipedia.org/wiki/2.0_(film)</t>
  </si>
  <si>
    <t xml:space="preserve">Prime Focus Technologies</t>
  </si>
  <si>
    <t xml:space="preserve">AI-driven media cloud/MAM company (CLEAR platform); recently launched NVIDIA-powered "Content Studio AI Agents" for filmmakers. Prime Focus Group (not excluded)</t>
  </si>
  <si>
    <t xml:space="preserve">https://www.prnewswire.com/in/news-releases/prime-focus-technologies-launches-clear-content-studio-ai-agentsleveraging-nvidia-technology-for-the-future-of-storytelling-302443863.html</t>
  </si>
  <si>
    <t xml:space="preserve">Balaji Telefilms Ltd</t>
  </si>
  <si>
    <t xml:space="preserve">BSE-listed production company (Ekta Kapoor/Kapoor family) with decades of film and TV content output, independent of Zee. Independent (Kapoor family; not Zee-affiliated)</t>
  </si>
  <si>
    <t xml:space="preserve">https://www.balajitelefilms.com/</t>
  </si>
  <si>
    <t xml:space="preserve">LinkedIn only - only unverified/masked email found, not sent</t>
  </si>
  <si>
    <t xml:space="preserve">Excel Entertainment</t>
  </si>
  <si>
    <t xml:space="preserve">Farhan Akhtar/Ritesh Sidhwani's production house, marked its 25th anniversary in 2026 with a new young-filmmaker initiative. Independent</t>
  </si>
  <si>
    <t xml:space="preserve">https://variety.com/2026/film/news/farhan-akhtar-ritesh-sidhwani-excel-origins-1236830778/</t>
  </si>
  <si>
    <t xml:space="preserve">No relevant channel found - only story-submission inbox, blocked</t>
  </si>
  <si>
    <t xml:space="preserve">NY VFXWAALA</t>
  </si>
  <si>
    <t xml:space="preserve">VFX division of Ajay Devgn Films, in-house effects house for Devgn productions. Devgn Films (not excluded)</t>
  </si>
  <si>
    <t xml:space="preserve">https://in.linkedin.com/company/ny-vfxwaala</t>
  </si>
  <si>
    <t xml:space="preserve">Qube Cinema Technologies</t>
  </si>
  <si>
    <t xml:space="preserve">Indian digital cinema technology company supplying projection/mastering hardware and software to exhibitors globally (formerly Real Image). Independent</t>
  </si>
  <si>
    <t xml:space="preserve">https://www.qubecinema.com/about-us</t>
  </si>
  <si>
    <t xml:space="preserve">Google (Google DeepMind)</t>
  </si>
  <si>
    <t xml:space="preserve">Global enterprise</t>
  </si>
  <si>
    <t xml:space="preserve">Mountain View, US</t>
  </si>
  <si>
    <t xml:space="preserve">Veo 3.1, Google's flagship text/image-to-video generation model, actively updated through 2026</t>
  </si>
  <si>
    <t xml:space="preserve">https://deepmind.google/models/veo/</t>
  </si>
  <si>
    <t xml:space="preserve">Microsoft</t>
  </si>
  <si>
    <t xml:space="preserve">Redmond, US</t>
  </si>
  <si>
    <t xml:space="preserve">Shipped generative AI video creation directly inside Microsoft 365 Copilot Create in 2026</t>
  </si>
  <si>
    <t xml:space="preserve">https://techcommunity.microsoft.com/blog/healthcareandlifesciencesblog/generative-ai-video-comes-to-microsoft-365-copilot-create/4480689</t>
  </si>
  <si>
    <t xml:space="preserve">Amazon Web Services (AWS)</t>
  </si>
  <si>
    <t xml:space="preserve">Seattle, US</t>
  </si>
  <si>
    <t xml:space="preserve">Brought generative AI tools for broadcast and filmmaking workflows to NAB Show 2026</t>
  </si>
  <si>
    <t xml:space="preserve">https://www.vp-land.com/stories/aws-brings-generative-ai-to-broadcast-filmmaking-and-vibe-coding-at-nab-2026</t>
  </si>
  <si>
    <t xml:space="preserve">Adobe</t>
  </si>
  <si>
    <t xml:space="preserve">San Jose, US</t>
  </si>
  <si>
    <t xml:space="preserve">Launched Firefly Video Model generative AI creation built into Premiere Pro, announced April 2026</t>
  </si>
  <si>
    <t xml:space="preserve">https://blog.adobe.com/en/publish/2026/04/15/adobe-extends-leadership-video-unleashing-new-ai-powered-creation-firefly-reinventing-color-editors-in-premiere</t>
  </si>
  <si>
    <t xml:space="preserve">Autodesk</t>
  </si>
  <si>
    <t xml:space="preserve">Ongoing 2026 feature releases (Flame 2026.1/2026.2) for its Flame VFX/finishing software used industry-wide</t>
  </si>
  <si>
    <t xml:space="preserve">https://www.cgchannel.com/2025/11/autodesk-releases-flame-2026/</t>
  </si>
  <si>
    <t xml:space="preserve">Avid Technology</t>
  </si>
  <si>
    <t xml:space="preserve">Burlington, US</t>
  </si>
  <si>
    <t xml:space="preserve">Unveiled agentic AI (AI-driven multicam cutting) in Media Composer 2026.8 at IBC2026</t>
  </si>
  <si>
    <t xml:space="preserve">https://www.avid.com/press-room/2026/08/avid-shows-the-future-of-agentic-editing-at-ibc2026</t>
  </si>
  <si>
    <t xml:space="preserve">Foundry</t>
  </si>
  <si>
    <t xml:space="preserve">Released AI-powered SmartRoto plugin for Nuke and acquired AI tools firm Griptape in 2026</t>
  </si>
  <si>
    <t xml:space="preserve">https://www.cgchannel.com/2026/02/foundry-acquires-ai-tools-firm-griptape/</t>
  </si>
  <si>
    <t xml:space="preserve">Blackmagic Design</t>
  </si>
  <si>
    <t xml:space="preserve">Melbourne, Australia</t>
  </si>
  <si>
    <t xml:space="preserve">DaVinci Resolve 21, released 2026, adds new AI-powered editing/photo tools alongside its camera hardware line, sold in India via authorized dealers</t>
  </si>
  <si>
    <t xml:space="preserve">https://petapixel.com/2026/06/03/davinci-resolve-21-officially-released-with-new-photo-editing-ai-tools-and-much-more/</t>
  </si>
  <si>
    <t xml:space="preserve">Unity Software</t>
  </si>
  <si>
    <t xml:space="preserve">Ships an AI 3D Object Generator inside the Unity Editor for real-time content creation</t>
  </si>
  <si>
    <t xml:space="preserve">https://unity.com/blog/unity-ai-3d-object-generator</t>
  </si>
  <si>
    <t xml:space="preserve">Epic Games</t>
  </si>
  <si>
    <t xml:space="preserve">Cary, US</t>
  </si>
  <si>
    <t xml:space="preserve">MetaHuman AI-driven digital-human creation tool built into Unreal Engine, actively developed through 2026</t>
  </si>
  <si>
    <t xml:space="preserve">https://www.unrealengine.com/en-US/metahuman</t>
  </si>
  <si>
    <t xml:space="preserve">ARRI</t>
  </si>
  <si>
    <t xml:space="preserve">Munich, Germany</t>
  </si>
  <si>
    <t xml:space="preserve">Launched ALEXA 35 Live Xtreme camera for live/broadcast production in 2026</t>
  </si>
  <si>
    <t xml:space="preserve">https://www.arri.com/en/company/press/press-releases-2026/alexa-35-live-xtreme</t>
  </si>
  <si>
    <t xml:space="preserve">DJI</t>
  </si>
  <si>
    <t xml:space="preserve">Shenzhen, China</t>
  </si>
  <si>
    <t xml:space="preserve">Debuted its Osmo Pocket 4P cinema camera specifically at the Cannes Film Festival in May 2026</t>
  </si>
  <si>
    <t xml:space="preserve">https://www.prnewswire.com/news-releases/dji-debuts-osmo-pocket-4p-at-cannes-ushering-in-a-new-era-of-handheld-cinematic-excellence-302772168.html</t>
  </si>
  <si>
    <t xml:space="preserve">OpenAI</t>
  </si>
  <si>
    <t xml:space="preserve">Sora text-to-video generation model remains available via the OpenAI API for developers/filmmakers</t>
  </si>
  <si>
    <t xml:space="preserve">https://developers.openai.com/api/docs/guides/video-generation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</si>
</sst>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9"/>
      <color rgb="FF555555"/>
      <name val="Arial"/>
      <family val="0"/>
      <charset val="1"/>
    </font>
    <font>
      <b val="true"/>
      <sz val="10"/>
      <color rgb="FFFFFFFF"/>
      <name val="Arial"/>
      <family val="0"/>
      <charset val="1"/>
    </font>
    <font>
      <sz val="10"/>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DE9D9"/>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DE9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3" min="2" style="1" width="26"/>
    <col collapsed="false" customWidth="true" hidden="false" outlineLevel="0" max="4" min="4" style="1" width="22"/>
    <col collapsed="false" customWidth="true" hidden="false" outlineLevel="0" max="5" min="5" style="1" width="46"/>
    <col collapsed="false" customWidth="true" hidden="false" outlineLevel="0" max="6" min="6" style="1" width="34"/>
    <col collapsed="false" customWidth="true" hidden="false" outlineLevel="0" max="7" min="7" style="1" width="11"/>
    <col collapsed="false" customWidth="true" hidden="false" outlineLevel="0" max="11" min="8" style="1" width="46"/>
    <col collapsed="false" customWidth="true" hidden="false" outlineLevel="0" max="12" min="12" style="1" width="16"/>
    <col collapsed="false" customWidth="true" hidden="false" outlineLevel="0" max="13" min="13" style="1" width="22"/>
    <col collapsed="false" customWidth="true" hidden="false" outlineLevel="0" max="14" min="14" style="1" width="26"/>
  </cols>
  <sheetData>
    <row r="1" customFormat="false" ht="17.25" hidden="false" customHeight="true" outlineLevel="0" collapsed="false">
      <c r="A1" s="2" t="s">
        <v>0</v>
      </c>
      <c r="B1" s="2"/>
      <c r="C1" s="2"/>
      <c r="D1" s="2"/>
      <c r="E1" s="2"/>
      <c r="F1" s="2"/>
      <c r="G1" s="2"/>
      <c r="H1" s="2"/>
      <c r="I1" s="2"/>
      <c r="J1" s="2"/>
      <c r="K1" s="2"/>
      <c r="L1" s="2"/>
      <c r="M1" s="2"/>
      <c r="N1" s="2"/>
    </row>
    <row r="2" customFormat="false" ht="42" hidden="false" customHeight="true" outlineLevel="0" collapsed="false">
      <c r="A2" s="3" t="s">
        <v>1</v>
      </c>
      <c r="B2" s="3"/>
      <c r="C2" s="3"/>
      <c r="D2" s="3"/>
      <c r="E2" s="3"/>
      <c r="F2" s="3"/>
      <c r="G2" s="3"/>
      <c r="H2" s="3"/>
      <c r="I2" s="3"/>
      <c r="J2" s="3"/>
      <c r="K2" s="3"/>
      <c r="L2" s="3"/>
      <c r="M2" s="3"/>
      <c r="N2" s="3"/>
    </row>
    <row r="3" customFormat="false" ht="33.75"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c r="N3" s="4" t="s">
        <v>15</v>
      </c>
    </row>
    <row r="4" customFormat="false" ht="15" hidden="false" customHeight="true" outlineLevel="0" collapsed="false">
      <c r="A4" s="5" t="n">
        <v>1</v>
      </c>
      <c r="B4" s="5" t="s">
        <v>16</v>
      </c>
      <c r="C4" s="5" t="s">
        <v>17</v>
      </c>
      <c r="D4" s="5" t="s">
        <v>18</v>
      </c>
      <c r="E4" s="5" t="s">
        <v>19</v>
      </c>
      <c r="F4" s="5" t="s">
        <v>20</v>
      </c>
      <c r="G4" s="5" t="s">
        <v>21</v>
      </c>
      <c r="H4" s="5" t="str">
        <f aca="false">"site:linkedin.com/in """ &amp; $B$4 &amp; """ (""Partnerships"" OR ""Strategic Partnerships"" OR ""Brand Partnerships"" OR ""Strategic Alliances"" OR ""Business Development"" OR ""Sponsorship"" OR ""Experiential Marketing"" OR ""Event Marketing"" OR ""Corporate Communications"" OR ""Marketing Director"" OR ""Head of Marketing"" OR CMO)"</f>
        <v>site:linkedin.com/in "Runway" ("Partnerships" OR "Strategic Partnerships" OR "Brand Partnerships" OR "Strategic Alliances" OR "Business Development" OR "Sponsorship" OR "Experiential Marketing" OR "Event Marketing" OR "Corporate Communications" OR "Marketing Director" OR "Head of Marketing" OR CMO)</v>
      </c>
      <c r="I4" s="5" t="str">
        <f aca="false">"site:linkedin.com/in """ &amp; $B$4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"Runway"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 s="5" t="str">
        <f aca="false">"""" &amp; $B$4 &amp; """ (""partnership"" OR ""partnerships"" OR sponsorship OR sponsor OR ""strategic partnership"" OR ""brand partnership"" OR ""business development"" OR alliances OR ""corporate communications"") (contact OR email OR ""contact us"" OR ""media contact"")"</f>
        <v>"Runway" ("partnership" OR "partnerships" OR sponsorship OR sponsor OR "strategic partnership" OR "brand partnership" OR "business development" OR alliances OR "corporate communications") (contact OR email OR "contact us" OR "media contact")</v>
      </c>
      <c r="K4" s="5" t="str">
        <f aca="false">"""" &amp; $B$4 &amp; """ India (""partnership"" OR ""partnerships"" OR sponsorship OR sponsor OR ""strategic partnership"" OR ""brand partnership"" OR ""business development"" OR alliances OR ""corporate communications"") (contact OR email OR ""contact us"" OR ""media contact"")"</f>
        <v>"Runway" India ("partnership" OR "partnerships" OR sponsorship OR sponsor OR "strategic partnership" OR "brand partnership" OR "business development" OR alliances OR "corporate communications") (contact OR email OR "contact us" OR "media contact")</v>
      </c>
      <c r="L4" s="5" t="s">
        <v>22</v>
      </c>
      <c r="M4" s="5" t="s">
        <v>23</v>
      </c>
      <c r="N4" s="5"/>
    </row>
    <row r="5" customFormat="false" ht="15" hidden="false" customHeight="true" outlineLevel="0" collapsed="false">
      <c r="A5" s="5" t="n">
        <v>2</v>
      </c>
      <c r="B5" s="5" t="s">
        <v>24</v>
      </c>
      <c r="C5" s="5" t="s">
        <v>17</v>
      </c>
      <c r="D5" s="5" t="s">
        <v>25</v>
      </c>
      <c r="E5" s="5" t="s">
        <v>26</v>
      </c>
      <c r="F5" s="5" t="s">
        <v>27</v>
      </c>
      <c r="G5" s="5" t="s">
        <v>21</v>
      </c>
      <c r="H5" s="5" t="str">
        <f aca="false">"site:linkedin.com/in """ &amp; $B$5 &amp; """ (""Partnerships"" OR ""Strategic Partnerships"" OR ""Brand Partnerships"" OR ""Strategic Alliances"" OR ""Business Development"" OR ""Sponsorship"" OR ""Experiential Marketing"" OR ""Event Marketing"" OR ""Corporate Communications"" OR ""Marketing Director"" OR ""Head of Marketing"" OR CMO)"</f>
        <v>site:linkedin.com/in "Pika Labs" ("Partnerships" OR "Strategic Partnerships" OR "Brand Partnerships" OR "Strategic Alliances" OR "Business Development" OR "Sponsorship" OR "Experiential Marketing" OR "Event Marketing" OR "Corporate Communications" OR "Marketing Director" OR "Head of Marketing" OR CMO)</v>
      </c>
      <c r="I5" s="5" t="str">
        <f aca="false">"site:linkedin.com/in """ &amp; $B$5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"Pika Labs"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 s="5" t="str">
        <f aca="false">"""" &amp; $B$5 &amp; """ (""partnership"" OR ""partnerships"" OR sponsorship OR sponsor OR ""strategic partnership"" OR ""brand partnership"" OR ""business development"" OR alliances OR ""corporate communications"") (contact OR email OR ""contact us"" OR ""media contact"")"</f>
        <v>"Pika Labs" ("partnership" OR "partnerships" OR sponsorship OR sponsor OR "strategic partnership" OR "brand partnership" OR "business development" OR alliances OR "corporate communications") (contact OR email OR "contact us" OR "media contact")</v>
      </c>
      <c r="K5" s="5" t="str">
        <f aca="false">"""" &amp; $B$5 &amp; """ India (""partnership"" OR ""partnerships"" OR sponsorship OR sponsor OR ""strategic partnership"" OR ""brand partnership"" OR ""business development"" OR alliances OR ""corporate communications"") (contact OR email OR ""contact us"" OR ""media contact"")"</f>
        <v>"Pika Labs" India ("partnership" OR "partnerships" OR sponsorship OR sponsor OR "strategic partnership" OR "brand partnership" OR "business development" OR alliances OR "corporate communications") (contact OR email OR "contact us" OR "media contact")</v>
      </c>
      <c r="L5" s="5" t="s">
        <v>22</v>
      </c>
      <c r="M5" s="5" t="s">
        <v>28</v>
      </c>
      <c r="N5" s="5"/>
    </row>
    <row r="6" customFormat="false" ht="15" hidden="false" customHeight="true" outlineLevel="0" collapsed="false">
      <c r="A6" s="5" t="n">
        <v>3</v>
      </c>
      <c r="B6" s="5" t="s">
        <v>29</v>
      </c>
      <c r="C6" s="5" t="s">
        <v>17</v>
      </c>
      <c r="D6" s="5" t="s">
        <v>25</v>
      </c>
      <c r="E6" s="5" t="s">
        <v>30</v>
      </c>
      <c r="F6" s="5" t="s">
        <v>31</v>
      </c>
      <c r="G6" s="5" t="s">
        <v>21</v>
      </c>
      <c r="H6" s="5" t="str">
        <f aca="false">"site:linkedin.com/in """ &amp; $B$6 &amp; """ (""Partnerships"" OR ""Strategic Partnerships"" OR ""Brand Partnerships"" OR ""Strategic Alliances"" OR ""Business Development"" OR ""Sponsorship"" OR ""Experiential Marketing"" OR ""Event Marketing"" OR ""Corporate Communications"" OR ""Marketing Director"" OR ""Head of Marketing"" OR CMO)"</f>
        <v>site:linkedin.com/in "Luma AI" ("Partnerships" OR "Strategic Partnerships" OR "Brand Partnerships" OR "Strategic Alliances" OR "Business Development" OR "Sponsorship" OR "Experiential Marketing" OR "Event Marketing" OR "Corporate Communications" OR "Marketing Director" OR "Head of Marketing" OR CMO)</v>
      </c>
      <c r="I6" s="5" t="str">
        <f aca="false">"site:linkedin.com/in """ &amp; $B$6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"Luma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 s="5" t="str">
        <f aca="false">"""" &amp; $B$6 &amp; """ (""partnership"" OR ""partnerships"" OR sponsorship OR sponsor OR ""strategic partnership"" OR ""brand partnership"" OR ""business development"" OR alliances OR ""corporate communications"") (contact OR email OR ""contact us"" OR ""media contact"")"</f>
        <v>"Luma AI" ("partnership" OR "partnerships" OR sponsorship OR sponsor OR "strategic partnership" OR "brand partnership" OR "business development" OR alliances OR "corporate communications") (contact OR email OR "contact us" OR "media contact")</v>
      </c>
      <c r="K6" s="5" t="str">
        <f aca="false">"""" &amp; $B$6 &amp; """ India (""partnership"" OR ""partnerships"" OR sponsorship OR sponsor OR ""strategic partnership"" OR ""brand partnership"" OR ""business development"" OR alliances OR ""corporate communications"") (contact OR email OR ""contact us"" OR ""media contact"")"</f>
        <v>"Luma AI" India ("partnership" OR "partnerships" OR sponsorship OR sponsor OR "strategic partnership" OR "brand partnership" OR "business development" OR alliances OR "corporate communications") (contact OR email OR "contact us" OR "media contact")</v>
      </c>
      <c r="L6" s="5" t="s">
        <v>22</v>
      </c>
      <c r="M6" s="5" t="s">
        <v>28</v>
      </c>
      <c r="N6" s="5"/>
    </row>
    <row r="7" customFormat="false" ht="15" hidden="false" customHeight="true" outlineLevel="0" collapsed="false">
      <c r="A7" s="5" t="n">
        <v>4</v>
      </c>
      <c r="B7" s="5" t="s">
        <v>32</v>
      </c>
      <c r="C7" s="5" t="s">
        <v>17</v>
      </c>
      <c r="D7" s="5" t="s">
        <v>18</v>
      </c>
      <c r="E7" s="5" t="s">
        <v>33</v>
      </c>
      <c r="F7" s="5" t="s">
        <v>34</v>
      </c>
      <c r="G7" s="5" t="s">
        <v>21</v>
      </c>
      <c r="H7" s="5" t="str">
        <f aca="false">"site:linkedin.com/in """ &amp; $B$7 &amp; """ (""Partnerships"" OR ""Strategic Partnerships"" OR ""Brand Partnerships"" OR ""Strategic Alliances"" OR ""Business Development"" OR ""Sponsorship"" OR ""Experiential Marketing"" OR ""Event Marketing"" OR ""Corporate Communications"" OR ""Marketing Director"" OR ""Head of Marketing"" OR CMO)"</f>
        <v>site:linkedin.com/in "Genmo" ("Partnerships" OR "Strategic Partnerships" OR "Brand Partnerships" OR "Strategic Alliances" OR "Business Development" OR "Sponsorship" OR "Experiential Marketing" OR "Event Marketing" OR "Corporate Communications" OR "Marketing Director" OR "Head of Marketing" OR CMO)</v>
      </c>
      <c r="I7" s="5" t="str">
        <f aca="false">"site:linkedin.com/in """ &amp; $B$7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"Genmo"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 s="5" t="str">
        <f aca="false">"""" &amp; $B$7 &amp; """ (""partnership"" OR ""partnerships"" OR sponsorship OR sponsor OR ""strategic partnership"" OR ""brand partnership"" OR ""business development"" OR alliances OR ""corporate communications"") (contact OR email OR ""contact us"" OR ""media contact"")"</f>
        <v>"Genmo" ("partnership" OR "partnerships" OR sponsorship OR sponsor OR "strategic partnership" OR "brand partnership" OR "business development" OR alliances OR "corporate communications") (contact OR email OR "contact us" OR "media contact")</v>
      </c>
      <c r="K7" s="5" t="str">
        <f aca="false">"""" &amp; $B$7 &amp; """ India (""partnership"" OR ""partnerships"" OR sponsorship OR sponsor OR ""strategic partnership"" OR ""brand partnership"" OR ""business development"" OR alliances OR ""corporate communications"") (contact OR email OR ""contact us"" OR ""media contact"")"</f>
        <v>"Genmo" India ("partnership" OR "partnerships" OR sponsorship OR sponsor OR "strategic partnership" OR "brand partnership" OR "business development" OR alliances OR "corporate communications") (contact OR email OR "contact us" OR "media contact")</v>
      </c>
      <c r="L7" s="5" t="s">
        <v>22</v>
      </c>
      <c r="M7" s="5" t="s">
        <v>23</v>
      </c>
      <c r="N7" s="5"/>
    </row>
    <row r="8" customFormat="false" ht="15" hidden="false" customHeight="true" outlineLevel="0" collapsed="false">
      <c r="A8" s="5" t="n">
        <v>5</v>
      </c>
      <c r="B8" s="5" t="s">
        <v>35</v>
      </c>
      <c r="C8" s="5" t="s">
        <v>17</v>
      </c>
      <c r="D8" s="5" t="s">
        <v>36</v>
      </c>
      <c r="E8" s="5" t="s">
        <v>37</v>
      </c>
      <c r="F8" s="5" t="s">
        <v>38</v>
      </c>
      <c r="G8" s="5" t="s">
        <v>21</v>
      </c>
      <c r="H8" s="5" t="str">
        <f aca="false">"site:linkedin.com/in """ &amp; $B$8 &amp; """ (""Partnerships"" OR ""Strategic Partnerships"" OR ""Brand Partnerships"" OR ""Strategic Alliances"" OR ""Business Development"" OR ""Sponsorship"" OR ""Experiential Marketing"" OR ""Event Marketing"" OR ""Corporate Communications"" OR ""Marketing Director"" OR ""Head of Marketing"" OR CMO)"</f>
        <v>site:linkedin.com/in "Kuaishou Technology (Kling AI)" ("Partnerships" OR "Strategic Partnerships" OR "Brand Partnerships" OR "Strategic Alliances" OR "Business Development" OR "Sponsorship" OR "Experiential Marketing" OR "Event Marketing" OR "Corporate Communications" OR "Marketing Director" OR "Head of Marketing" OR CMO)</v>
      </c>
      <c r="I8" s="5" t="str">
        <f aca="false">"site:linkedin.com/in """ &amp; $B$8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"Kuaishou Technology (Kling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 s="5" t="str">
        <f aca="false">"""" &amp; $B$8 &amp; """ (""partnership"" OR ""partnerships"" OR sponsorship OR sponsor OR ""strategic partnership"" OR ""brand partnership"" OR ""business development"" OR alliances OR ""corporate communications"") (contact OR email OR ""contact us"" OR ""media contact"")"</f>
        <v>"Kuaishou Technology (Kling AI)" ("partnership" OR "partnerships" OR sponsorship OR sponsor OR "strategic partnership" OR "brand partnership" OR "business development" OR alliances OR "corporate communications") (contact OR email OR "contact us" OR "media contact")</v>
      </c>
      <c r="K8" s="5" t="str">
        <f aca="false">"""" &amp; $B$8 &amp; """ India (""partnership"" OR ""partnerships"" OR sponsorship OR sponsor OR ""strategic partnership"" OR ""brand partnership"" OR ""business development"" OR alliances OR ""corporate communications"") (contact OR email OR ""contact us"" OR ""media contact"")"</f>
        <v>"Kuaishou Technology (Kling AI)" India ("partnership" OR "partnerships" OR sponsorship OR sponsor OR "strategic partnership" OR "brand partnership" OR "business development" OR alliances OR "corporate communications") (contact OR email OR "contact us" OR "media contact")</v>
      </c>
      <c r="L8" s="5" t="s">
        <v>22</v>
      </c>
      <c r="M8" s="5" t="s">
        <v>28</v>
      </c>
      <c r="N8" s="5"/>
    </row>
    <row r="9" customFormat="false" ht="15" hidden="false" customHeight="true" outlineLevel="0" collapsed="false">
      <c r="A9" s="5" t="n">
        <v>6</v>
      </c>
      <c r="B9" s="5" t="s">
        <v>39</v>
      </c>
      <c r="C9" s="5" t="s">
        <v>17</v>
      </c>
      <c r="D9" s="5" t="s">
        <v>36</v>
      </c>
      <c r="E9" s="5" t="s">
        <v>40</v>
      </c>
      <c r="F9" s="5" t="s">
        <v>41</v>
      </c>
      <c r="G9" s="5" t="s">
        <v>21</v>
      </c>
      <c r="H9" s="5" t="str">
        <f aca="false">"site:linkedin.com/in """ &amp; $B$9 &amp; """ (""Partnerships"" OR ""Strategic Partnerships"" OR ""Brand Partnerships"" OR ""Strategic Alliances"" OR ""Business Development"" OR ""Sponsorship"" OR ""Experiential Marketing"" OR ""Event Marketing"" OR ""Corporate Communications"" OR ""Marketing Director"" OR ""Head of Marketing"" OR CMO)"</f>
        <v>site:linkedin.com/in "Shengshu Technology (Vidu)" ("Partnerships" OR "Strategic Partnerships" OR "Brand Partnerships" OR "Strategic Alliances" OR "Business Development" OR "Sponsorship" OR "Experiential Marketing" OR "Event Marketing" OR "Corporate Communications" OR "Marketing Director" OR "Head of Marketing" OR CMO)</v>
      </c>
      <c r="I9" s="5" t="str">
        <f aca="false">"site:linkedin.com/in """ &amp; $B$9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"Shengshu Technology (Vidu)"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 s="5" t="str">
        <f aca="false">"""" &amp; $B$9 &amp; """ (""partnership"" OR ""partnerships"" OR sponsorship OR sponsor OR ""strategic partnership"" OR ""brand partnership"" OR ""business development"" OR alliances OR ""corporate communications"") (contact OR email OR ""contact us"" OR ""media contact"")"</f>
        <v>"Shengshu Technology (Vidu)" ("partnership" OR "partnerships" OR sponsorship OR sponsor OR "strategic partnership" OR "brand partnership" OR "business development" OR alliances OR "corporate communications") (contact OR email OR "contact us" OR "media contact")</v>
      </c>
      <c r="K9" s="5" t="str">
        <f aca="false">"""" &amp; $B$9 &amp; """ India (""partnership"" OR ""partnerships"" OR sponsorship OR sponsor OR ""strategic partnership"" OR ""brand partnership"" OR ""business development"" OR alliances OR ""corporate communications"") (contact OR email OR ""contact us"" OR ""media contact"")"</f>
        <v>"Shengshu Technology (Vidu)" India ("partnership" OR "partnerships" OR sponsorship OR sponsor OR "strategic partnership" OR "brand partnership" OR "business development" OR alliances OR "corporate communications") (contact OR email OR "contact us" OR "media contact")</v>
      </c>
      <c r="L9" s="5" t="s">
        <v>22</v>
      </c>
      <c r="M9" s="5" t="s">
        <v>23</v>
      </c>
      <c r="N9" s="5"/>
    </row>
    <row r="10" customFormat="false" ht="15" hidden="false" customHeight="true" outlineLevel="0" collapsed="false">
      <c r="A10" s="5" t="n">
        <v>7</v>
      </c>
      <c r="B10" s="5" t="s">
        <v>42</v>
      </c>
      <c r="C10" s="5" t="s">
        <v>17</v>
      </c>
      <c r="D10" s="5" t="s">
        <v>43</v>
      </c>
      <c r="E10" s="5" t="s">
        <v>44</v>
      </c>
      <c r="F10" s="5" t="s">
        <v>45</v>
      </c>
      <c r="G10" s="5" t="s">
        <v>21</v>
      </c>
      <c r="H10" s="5" t="str">
        <f aca="false">"site:linkedin.com/in """ &amp; $B$10 &amp; """ (""Partnerships"" OR ""Strategic Partnerships"" OR ""Brand Partnerships"" OR ""Strategic Alliances"" OR ""Business Development"" OR ""Sponsorship"" OR ""Experiential Marketing"" OR ""Event Marketing"" OR ""Corporate Communications"" OR ""Marketing Director"" OR ""Head of Marketing"" OR CMO)"</f>
        <v>site:linkedin.com/in "ElevenLabs" ("Partnerships" OR "Strategic Partnerships" OR "Brand Partnerships" OR "Strategic Alliances" OR "Business Development" OR "Sponsorship" OR "Experiential Marketing" OR "Event Marketing" OR "Corporate Communications" OR "Marketing Director" OR "Head of Marketing" OR CMO)</v>
      </c>
      <c r="I10" s="5" t="str">
        <f aca="false">"site:linkedin.com/in """ &amp; $B$10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"ElevenLabs"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 s="5" t="str">
        <f aca="false">"""" &amp; $B$10 &amp; """ (""partnership"" OR ""partnerships"" OR sponsorship OR sponsor OR ""strategic partnership"" OR ""brand partnership"" OR ""business development"" OR alliances OR ""corporate communications"") (contact OR email OR ""contact us"" OR ""media contact"")"</f>
        <v>"ElevenLabs" ("partnership" OR "partnerships" OR sponsorship OR sponsor OR "strategic partnership" OR "brand partnership" OR "business development" OR alliances OR "corporate communications") (contact OR email OR "contact us" OR "media contact")</v>
      </c>
      <c r="K10" s="5" t="str">
        <f aca="false">"""" &amp; $B$10 &amp; """ India (""partnership"" OR ""partnerships"" OR sponsorship OR sponsor OR ""strategic partnership"" OR ""brand partnership"" OR ""business development"" OR alliances OR ""corporate communications"") (contact OR email OR ""contact us"" OR ""media contact"")"</f>
        <v>"ElevenLabs" India ("partnership" OR "partnerships" OR sponsorship OR sponsor OR "strategic partnership" OR "brand partnership" OR "business development" OR alliances OR "corporate communications") (contact OR email OR "contact us" OR "media contact")</v>
      </c>
      <c r="L10" s="5" t="s">
        <v>22</v>
      </c>
      <c r="M10" s="5" t="s">
        <v>23</v>
      </c>
      <c r="N10" s="5"/>
    </row>
    <row r="11" customFormat="false" ht="15" hidden="false" customHeight="true" outlineLevel="0" collapsed="false">
      <c r="A11" s="5" t="n">
        <v>8</v>
      </c>
      <c r="B11" s="5" t="s">
        <v>46</v>
      </c>
      <c r="C11" s="5" t="s">
        <v>17</v>
      </c>
      <c r="D11" s="5" t="s">
        <v>47</v>
      </c>
      <c r="E11" s="5" t="s">
        <v>48</v>
      </c>
      <c r="F11" s="5" t="s">
        <v>49</v>
      </c>
      <c r="G11" s="5" t="s">
        <v>21</v>
      </c>
      <c r="H11" s="5" t="str">
        <f aca="false">"site:linkedin.com/in """ &amp; $B$11 &amp; """ (""Partnerships"" OR ""Strategic Partnerships"" OR ""Brand Partnerships"" OR ""Strategic Alliances"" OR ""Business Development"" OR ""Sponsorship"" OR ""Experiential Marketing"" OR ""Event Marketing"" OR ""Corporate Communications"" OR ""Marketing Director"" OR ""Head of Marketing"" OR CMO)"</f>
        <v>site:linkedin.com/in "Murf AI" ("Partnerships" OR "Strategic Partnerships" OR "Brand Partnerships" OR "Strategic Alliances" OR "Business Development" OR "Sponsorship" OR "Experiential Marketing" OR "Event Marketing" OR "Corporate Communications" OR "Marketing Director" OR "Head of Marketing" OR CMO)</v>
      </c>
      <c r="I11" s="5" t="str">
        <f aca="false">"site:linkedin.com/in """ &amp; $B$11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"Murf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1" s="5" t="str">
        <f aca="false">"""" &amp; $B$11 &amp; """ (""partnership"" OR ""partnerships"" OR sponsorship OR sponsor OR ""strategic partnership"" OR ""brand partnership"" OR ""business development"" OR alliances OR ""corporate communications"") (contact OR email OR ""contact us"" OR ""media contact"")"</f>
        <v>"Murf AI" ("partnership" OR "partnerships" OR sponsorship OR sponsor OR "strategic partnership" OR "brand partnership" OR "business development" OR alliances OR "corporate communications") (contact OR email OR "contact us" OR "media contact")</v>
      </c>
      <c r="K11" s="5" t="str">
        <f aca="false">"""" &amp; $B$11 &amp; """ India (""partnership"" OR ""partnerships"" OR sponsorship OR sponsor OR ""strategic partnership"" OR ""brand partnership"" OR ""business development"" OR alliances OR ""corporate communications"") (contact OR email OR ""contact us"" OR ""media contact"")"</f>
        <v>"Murf AI" India ("partnership" OR "partnerships" OR sponsorship OR sponsor OR "strategic partnership" OR "brand partnership" OR "business development" OR alliances OR "corporate communications") (contact OR email OR "contact us" OR "media contact")</v>
      </c>
      <c r="L11" s="5" t="s">
        <v>22</v>
      </c>
      <c r="M11" s="5" t="s">
        <v>23</v>
      </c>
      <c r="N11" s="5"/>
    </row>
    <row r="12" customFormat="false" ht="15" hidden="false" customHeight="true" outlineLevel="0" collapsed="false">
      <c r="A12" s="5" t="n">
        <v>9</v>
      </c>
      <c r="B12" s="5" t="s">
        <v>50</v>
      </c>
      <c r="C12" s="5" t="s">
        <v>17</v>
      </c>
      <c r="D12" s="5" t="s">
        <v>51</v>
      </c>
      <c r="E12" s="5" t="s">
        <v>52</v>
      </c>
      <c r="F12" s="5" t="s">
        <v>53</v>
      </c>
      <c r="G12" s="5" t="s">
        <v>21</v>
      </c>
      <c r="H12" s="5" t="str">
        <f aca="false">"site:linkedin.com/in """ &amp; $B$12 &amp; """ (""Partnerships"" OR ""Strategic Partnerships"" OR ""Brand Partnerships"" OR ""Strategic Alliances"" OR ""Business Development"" OR ""Sponsorship"" OR ""Experiential Marketing"" OR ""Event Marketing"" OR ""Corporate Communications"" OR ""Marketing Director"" OR ""Head of Marketing"" OR CMO)"</f>
        <v>site:linkedin.com/in "Deepdub" ("Partnerships" OR "Strategic Partnerships" OR "Brand Partnerships" OR "Strategic Alliances" OR "Business Development" OR "Sponsorship" OR "Experiential Marketing" OR "Event Marketing" OR "Corporate Communications" OR "Marketing Director" OR "Head of Marketing" OR CMO)</v>
      </c>
      <c r="I12" s="5" t="str">
        <f aca="false">"site:linkedin.com/in """ &amp; $B$12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"Deepdub"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2" s="5" t="str">
        <f aca="false">"""" &amp; $B$12 &amp; """ (""partnership"" OR ""partnerships"" OR sponsorship OR sponsor OR ""strategic partnership"" OR ""brand partnership"" OR ""business development"" OR alliances OR ""corporate communications"") (contact OR email OR ""contact us"" OR ""media contact"")"</f>
        <v>"Deepdub" ("partnership" OR "partnerships" OR sponsorship OR sponsor OR "strategic partnership" OR "brand partnership" OR "business development" OR alliances OR "corporate communications") (contact OR email OR "contact us" OR "media contact")</v>
      </c>
      <c r="K12" s="5" t="str">
        <f aca="false">"""" &amp; $B$12 &amp; """ India (""partnership"" OR ""partnerships"" OR sponsorship OR sponsor OR ""strategic partnership"" OR ""brand partnership"" OR ""business development"" OR alliances OR ""corporate communications"") (contact OR email OR ""contact us"" OR ""media contact"")"</f>
        <v>"Deepdub" India ("partnership" OR "partnerships" OR sponsorship OR sponsor OR "strategic partnership" OR "brand partnership" OR "business development" OR alliances OR "corporate communications") (contact OR email OR "contact us" OR "media contact")</v>
      </c>
      <c r="L12" s="5" t="s">
        <v>22</v>
      </c>
      <c r="M12" s="5" t="s">
        <v>28</v>
      </c>
      <c r="N12" s="5"/>
    </row>
    <row r="13" customFormat="false" ht="15" hidden="false" customHeight="true" outlineLevel="0" collapsed="false">
      <c r="A13" s="5" t="n">
        <v>10</v>
      </c>
      <c r="B13" s="5" t="s">
        <v>54</v>
      </c>
      <c r="C13" s="5" t="s">
        <v>17</v>
      </c>
      <c r="D13" s="5" t="s">
        <v>43</v>
      </c>
      <c r="E13" s="5" t="s">
        <v>55</v>
      </c>
      <c r="F13" s="5" t="s">
        <v>56</v>
      </c>
      <c r="G13" s="5" t="s">
        <v>21</v>
      </c>
      <c r="H13" s="5" t="str">
        <f aca="false">"site:linkedin.com/in """ &amp; $B$13 &amp; """ (""Partnerships"" OR ""Strategic Partnerships"" OR ""Brand Partnerships"" OR ""Strategic Alliances"" OR ""Business Development"" OR ""Sponsorship"" OR ""Experiential Marketing"" OR ""Event Marketing"" OR ""Corporate Communications"" OR ""Marketing Director"" OR ""Head of Marketing"" OR CMO)"</f>
        <v>site:linkedin.com/in "Papercup" ("Partnerships" OR "Strategic Partnerships" OR "Brand Partnerships" OR "Strategic Alliances" OR "Business Development" OR "Sponsorship" OR "Experiential Marketing" OR "Event Marketing" OR "Corporate Communications" OR "Marketing Director" OR "Head of Marketing" OR CMO)</v>
      </c>
      <c r="I13" s="5" t="str">
        <f aca="false">"site:linkedin.com/in """ &amp; $B$13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"Papercup"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3" s="5" t="str">
        <f aca="false">"""" &amp; $B$13 &amp; """ (""partnership"" OR ""partnerships"" OR sponsorship OR sponsor OR ""strategic partnership"" OR ""brand partnership"" OR ""business development"" OR alliances OR ""corporate communications"") (contact OR email OR ""contact us"" OR ""media contact"")"</f>
        <v>"Papercup" ("partnership" OR "partnerships" OR sponsorship OR sponsor OR "strategic partnership" OR "brand partnership" OR "business development" OR alliances OR "corporate communications") (contact OR email OR "contact us" OR "media contact")</v>
      </c>
      <c r="K13" s="5" t="str">
        <f aca="false">"""" &amp; $B$13 &amp; """ India (""partnership"" OR ""partnerships"" OR sponsorship OR sponsor OR ""strategic partnership"" OR ""brand partnership"" OR ""business development"" OR alliances OR ""corporate communications"") (contact OR email OR ""contact us"" OR ""media contact"")"</f>
        <v>"Papercup" India ("partnership" OR "partnerships" OR sponsorship OR sponsor OR "strategic partnership" OR "brand partnership" OR "business development" OR alliances OR "corporate communications") (contact OR email OR "contact us" OR "media contact")</v>
      </c>
      <c r="L13" s="5" t="s">
        <v>22</v>
      </c>
      <c r="M13" s="5" t="s">
        <v>28</v>
      </c>
      <c r="N13" s="5"/>
    </row>
    <row r="14" customFormat="false" ht="15" hidden="false" customHeight="true" outlineLevel="0" collapsed="false">
      <c r="A14" s="5" t="n">
        <v>11</v>
      </c>
      <c r="B14" s="5" t="s">
        <v>57</v>
      </c>
      <c r="C14" s="5" t="s">
        <v>17</v>
      </c>
      <c r="D14" s="5" t="s">
        <v>58</v>
      </c>
      <c r="E14" s="5" t="s">
        <v>59</v>
      </c>
      <c r="F14" s="5" t="s">
        <v>60</v>
      </c>
      <c r="G14" s="5" t="s">
        <v>21</v>
      </c>
      <c r="H14" s="5" t="str">
        <f aca="false">"site:linkedin.com/in """ &amp; $B$14 &amp; """ (""Partnerships"" OR ""Strategic Partnerships"" OR ""Brand Partnerships"" OR ""Strategic Alliances"" OR ""Business Development"" OR ""Sponsorship"" OR ""Experiential Marketing"" OR ""Event Marketing"" OR ""Corporate Communications"" OR ""Marketing Director"" OR ""Head of Marketing"" OR CMO)"</f>
        <v>site:linkedin.com/in "NeuralGarage" ("Partnerships" OR "Strategic Partnerships" OR "Brand Partnerships" OR "Strategic Alliances" OR "Business Development" OR "Sponsorship" OR "Experiential Marketing" OR "Event Marketing" OR "Corporate Communications" OR "Marketing Director" OR "Head of Marketing" OR CMO)</v>
      </c>
      <c r="I14" s="5" t="str">
        <f aca="false">"site:linkedin.com/in """ &amp; $B$14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"NeuralGarage"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4" s="5" t="str">
        <f aca="false">"""" &amp; $B$14 &amp; """ (""partnership"" OR ""partnerships"" OR sponsorship OR sponsor OR ""strategic partnership"" OR ""brand partnership"" OR ""business development"" OR alliances OR ""corporate communications"") (contact OR email OR ""contact us"" OR ""media contact"")"</f>
        <v>"NeuralGarage" ("partnership" OR "partnerships" OR sponsorship OR sponsor OR "strategic partnership" OR "brand partnership" OR "business development" OR alliances OR "corporate communications") (contact OR email OR "contact us" OR "media contact")</v>
      </c>
      <c r="K14" s="5" t="str">
        <f aca="false">"""" &amp; $B$14 &amp; """ India (""partnership"" OR ""partnerships"" OR sponsorship OR sponsor OR ""strategic partnership"" OR ""brand partnership"" OR ""business development"" OR alliances OR ""corporate communications"") (contact OR email OR ""contact us"" OR ""media contact"")"</f>
        <v>"NeuralGarage" India ("partnership" OR "partnerships" OR sponsorship OR sponsor OR "strategic partnership" OR "brand partnership" OR "business development" OR alliances OR "corporate communications") (contact OR email OR "contact us" OR "media contact")</v>
      </c>
      <c r="L14" s="5" t="s">
        <v>22</v>
      </c>
      <c r="M14" s="5" t="s">
        <v>23</v>
      </c>
      <c r="N14" s="5"/>
    </row>
    <row r="15" customFormat="false" ht="15" hidden="false" customHeight="true" outlineLevel="0" collapsed="false">
      <c r="A15" s="5" t="n">
        <v>12</v>
      </c>
      <c r="B15" s="5" t="s">
        <v>61</v>
      </c>
      <c r="C15" s="5" t="s">
        <v>17</v>
      </c>
      <c r="D15" s="5" t="s">
        <v>47</v>
      </c>
      <c r="E15" s="5" t="s">
        <v>62</v>
      </c>
      <c r="F15" s="5" t="s">
        <v>63</v>
      </c>
      <c r="G15" s="5" t="s">
        <v>21</v>
      </c>
      <c r="H15" s="5" t="str">
        <f aca="false">"site:linkedin.com/in """ &amp; $B$15 &amp; """ (""Partnerships"" OR ""Strategic Partnerships"" OR ""Brand Partnerships"" OR ""Strategic Alliances"" OR ""Business Development"" OR ""Sponsorship"" OR ""Experiential Marketing"" OR ""Event Marketing"" OR ""Corporate Communications"" OR ""Marketing Director"" OR ""Head of Marketing"" OR CMO)"</f>
        <v>site:linkedin.com/in "Rephrase.ai" ("Partnerships" OR "Strategic Partnerships" OR "Brand Partnerships" OR "Strategic Alliances" OR "Business Development" OR "Sponsorship" OR "Experiential Marketing" OR "Event Marketing" OR "Corporate Communications" OR "Marketing Director" OR "Head of Marketing" OR CMO)</v>
      </c>
      <c r="I15" s="5" t="str">
        <f aca="false">"site:linkedin.com/in """ &amp; $B$15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"Rephrase.ai"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5" s="5" t="str">
        <f aca="false">"""" &amp; $B$15 &amp; """ (""partnership"" OR ""partnerships"" OR sponsorship OR sponsor OR ""strategic partnership"" OR ""brand partnership"" OR ""business development"" OR alliances OR ""corporate communications"") (contact OR email OR ""contact us"" OR ""media contact"")"</f>
        <v>"Rephrase.ai" ("partnership" OR "partnerships" OR sponsorship OR sponsor OR "strategic partnership" OR "brand partnership" OR "business development" OR alliances OR "corporate communications") (contact OR email OR "contact us" OR "media contact")</v>
      </c>
      <c r="K15" s="5" t="str">
        <f aca="false">"""" &amp; $B$15 &amp; """ India (""partnership"" OR ""partnerships"" OR sponsorship OR sponsor OR ""strategic partnership"" OR ""brand partnership"" OR ""business development"" OR alliances OR ""corporate communications"") (contact OR email OR ""contact us"" OR ""media contact"")"</f>
        <v>"Rephrase.ai" India ("partnership" OR "partnerships" OR sponsorship OR sponsor OR "strategic partnership" OR "brand partnership" OR "business development" OR alliances OR "corporate communications") (contact OR email OR "contact us" OR "media contact")</v>
      </c>
      <c r="L15" s="5" t="s">
        <v>22</v>
      </c>
      <c r="M15" s="5" t="s">
        <v>64</v>
      </c>
      <c r="N15" s="5"/>
    </row>
    <row r="16" customFormat="false" ht="15" hidden="false" customHeight="true" outlineLevel="0" collapsed="false">
      <c r="A16" s="5" t="n">
        <v>13</v>
      </c>
      <c r="B16" s="5" t="s">
        <v>65</v>
      </c>
      <c r="C16" s="5" t="s">
        <v>17</v>
      </c>
      <c r="D16" s="5" t="s">
        <v>47</v>
      </c>
      <c r="E16" s="5" t="s">
        <v>66</v>
      </c>
      <c r="F16" s="5" t="s">
        <v>67</v>
      </c>
      <c r="G16" s="5" t="s">
        <v>21</v>
      </c>
      <c r="H16" s="5" t="str">
        <f aca="false">"site:linkedin.com/in """ &amp; $B$16 &amp; """ (""Partnerships"" OR ""Strategic Partnerships"" OR ""Brand Partnerships"" OR ""Strategic Alliances"" OR ""Business Development"" OR ""Sponsorship"" OR ""Experiential Marketing"" OR ""Event Marketing"" OR ""Corporate Communications"" OR ""Marketing Director"" OR ""Head of Marketing"" OR CMO)"</f>
        <v>site:linkedin.com/in "Gan.ai" ("Partnerships" OR "Strategic Partnerships" OR "Brand Partnerships" OR "Strategic Alliances" OR "Business Development" OR "Sponsorship" OR "Experiential Marketing" OR "Event Marketing" OR "Corporate Communications" OR "Marketing Director" OR "Head of Marketing" OR CMO)</v>
      </c>
      <c r="I16" s="5" t="str">
        <f aca="false">"site:linkedin.com/in """ &amp; $B$16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"Gan.ai"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6" s="5" t="str">
        <f aca="false">"""" &amp; $B$16 &amp; """ (""partnership"" OR ""partnerships"" OR sponsorship OR sponsor OR ""strategic partnership"" OR ""brand partnership"" OR ""business development"" OR alliances OR ""corporate communications"") (contact OR email OR ""contact us"" OR ""media contact"")"</f>
        <v>"Gan.ai" ("partnership" OR "partnerships" OR sponsorship OR sponsor OR "strategic partnership" OR "brand partnership" OR "business development" OR alliances OR "corporate communications") (contact OR email OR "contact us" OR "media contact")</v>
      </c>
      <c r="K16" s="5" t="str">
        <f aca="false">"""" &amp; $B$16 &amp; """ India (""partnership"" OR ""partnerships"" OR sponsorship OR sponsor OR ""strategic partnership"" OR ""brand partnership"" OR ""business development"" OR alliances OR ""corporate communications"") (contact OR email OR ""contact us"" OR ""media contact"")"</f>
        <v>"Gan.ai" India ("partnership" OR "partnerships" OR sponsorship OR sponsor OR "strategic partnership" OR "brand partnership" OR "business development" OR alliances OR "corporate communications") (contact OR email OR "contact us" OR "media contact")</v>
      </c>
      <c r="L16" s="5" t="s">
        <v>22</v>
      </c>
      <c r="M16" s="5" t="s">
        <v>28</v>
      </c>
      <c r="N16" s="5"/>
    </row>
    <row r="17" customFormat="false" ht="15" hidden="false" customHeight="true" outlineLevel="0" collapsed="false">
      <c r="A17" s="5" t="n">
        <v>14</v>
      </c>
      <c r="B17" s="5" t="s">
        <v>68</v>
      </c>
      <c r="C17" s="5" t="s">
        <v>17</v>
      </c>
      <c r="D17" s="5" t="s">
        <v>69</v>
      </c>
      <c r="E17" s="5" t="s">
        <v>70</v>
      </c>
      <c r="F17" s="5" t="s">
        <v>71</v>
      </c>
      <c r="G17" s="5" t="s">
        <v>21</v>
      </c>
      <c r="H17" s="5" t="str">
        <f aca="false">"site:linkedin.com/in """ &amp; $B$17 &amp; """ (""Partnerships"" OR ""Strategic Partnerships"" OR ""Brand Partnerships"" OR ""Strategic Alliances"" OR ""Business Development"" OR ""Sponsorship"" OR ""Experiential Marketing"" OR ""Event Marketing"" OR ""Corporate Communications"" OR ""Marketing Director"" OR ""Head of Marketing"" OR CMO)"</f>
        <v>site:linkedin.com/in "Suno" ("Partnerships" OR "Strategic Partnerships" OR "Brand Partnerships" OR "Strategic Alliances" OR "Business Development" OR "Sponsorship" OR "Experiential Marketing" OR "Event Marketing" OR "Corporate Communications" OR "Marketing Director" OR "Head of Marketing" OR CMO)</v>
      </c>
      <c r="I17" s="5" t="str">
        <f aca="false">"site:linkedin.com/in """ &amp; $B$17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"Suno"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7" s="5" t="str">
        <f aca="false">"""" &amp; $B$17 &amp; """ (""partnership"" OR ""partnerships"" OR sponsorship OR sponsor OR ""strategic partnership"" OR ""brand partnership"" OR ""business development"" OR alliances OR ""corporate communications"") (contact OR email OR ""contact us"" OR ""media contact"")"</f>
        <v>"Suno" ("partnership" OR "partnerships" OR sponsorship OR sponsor OR "strategic partnership" OR "brand partnership" OR "business development" OR alliances OR "corporate communications") (contact OR email OR "contact us" OR "media contact")</v>
      </c>
      <c r="K17" s="5" t="str">
        <f aca="false">"""" &amp; $B$17 &amp; """ India (""partnership"" OR ""partnerships"" OR sponsorship OR sponsor OR ""strategic partnership"" OR ""brand partnership"" OR ""business development"" OR alliances OR ""corporate communications"") (contact OR email OR ""contact us"" OR ""media contact"")"</f>
        <v>"Suno" India ("partnership" OR "partnerships" OR sponsorship OR sponsor OR "strategic partnership" OR "brand partnership" OR "business development" OR alliances OR "corporate communications") (contact OR email OR "contact us" OR "media contact")</v>
      </c>
      <c r="L17" s="5" t="s">
        <v>22</v>
      </c>
      <c r="M17" s="5" t="s">
        <v>28</v>
      </c>
      <c r="N17" s="5"/>
    </row>
    <row r="18" customFormat="false" ht="15" hidden="false" customHeight="true" outlineLevel="0" collapsed="false">
      <c r="A18" s="5" t="n">
        <v>15</v>
      </c>
      <c r="B18" s="5" t="s">
        <v>72</v>
      </c>
      <c r="C18" s="5" t="s">
        <v>17</v>
      </c>
      <c r="D18" s="5" t="s">
        <v>73</v>
      </c>
      <c r="E18" s="5" t="s">
        <v>74</v>
      </c>
      <c r="F18" s="5" t="s">
        <v>75</v>
      </c>
      <c r="G18" s="5" t="s">
        <v>21</v>
      </c>
      <c r="H18" s="5" t="str">
        <f aca="false">"site:linkedin.com/in """ &amp; $B$18 &amp; """ (""Partnerships"" OR ""Strategic Partnerships"" OR ""Brand Partnerships"" OR ""Strategic Alliances"" OR ""Business Development"" OR ""Sponsorship"" OR ""Experiential Marketing"" OR ""Event Marketing"" OR ""Corporate Communications"" OR ""Marketing Director"" OR ""Head of Marketing"" OR CMO)"</f>
        <v>site:linkedin.com/in "Udio" ("Partnerships" OR "Strategic Partnerships" OR "Brand Partnerships" OR "Strategic Alliances" OR "Business Development" OR "Sponsorship" OR "Experiential Marketing" OR "Event Marketing" OR "Corporate Communications" OR "Marketing Director" OR "Head of Marketing" OR CMO)</v>
      </c>
      <c r="I18" s="5" t="str">
        <f aca="false">"site:linkedin.com/in """ &amp; $B$18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"Udio"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8" s="5" t="str">
        <f aca="false">"""" &amp; $B$18 &amp; """ (""partnership"" OR ""partnerships"" OR sponsorship OR sponsor OR ""strategic partnership"" OR ""brand partnership"" OR ""business development"" OR alliances OR ""corporate communications"") (contact OR email OR ""contact us"" OR ""media contact"")"</f>
        <v>"Udio" ("partnership" OR "partnerships" OR sponsorship OR sponsor OR "strategic partnership" OR "brand partnership" OR "business development" OR alliances OR "corporate communications") (contact OR email OR "contact us" OR "media contact")</v>
      </c>
      <c r="K18" s="5" t="str">
        <f aca="false">"""" &amp; $B$18 &amp; """ India (""partnership"" OR ""partnerships"" OR sponsorship OR sponsor OR ""strategic partnership"" OR ""brand partnership"" OR ""business development"" OR alliances OR ""corporate communications"") (contact OR email OR ""contact us"" OR ""media contact"")"</f>
        <v>"Udio" India ("partnership" OR "partnerships" OR sponsorship OR sponsor OR "strategic partnership" OR "brand partnership" OR "business development" OR alliances OR "corporate communications") (contact OR email OR "contact us" OR "media contact")</v>
      </c>
      <c r="L18" s="5" t="s">
        <v>22</v>
      </c>
      <c r="M18" s="5" t="s">
        <v>28</v>
      </c>
      <c r="N18" s="5"/>
    </row>
    <row r="19" customFormat="false" ht="15" hidden="false" customHeight="true" outlineLevel="0" collapsed="false">
      <c r="A19" s="5" t="n">
        <v>16</v>
      </c>
      <c r="B19" s="5" t="s">
        <v>76</v>
      </c>
      <c r="C19" s="5" t="s">
        <v>17</v>
      </c>
      <c r="D19" s="5" t="s">
        <v>43</v>
      </c>
      <c r="E19" s="5" t="s">
        <v>77</v>
      </c>
      <c r="F19" s="5" t="s">
        <v>78</v>
      </c>
      <c r="G19" s="5" t="s">
        <v>21</v>
      </c>
      <c r="H19" s="5" t="str">
        <f aca="false">"site:linkedin.com/in """ &amp; $B$19 &amp; """ (""Partnerships"" OR ""Strategic Partnerships"" OR ""Brand Partnerships"" OR ""Strategic Alliances"" OR ""Business Development"" OR ""Sponsorship"" OR ""Experiential Marketing"" OR ""Event Marketing"" OR ""Corporate Communications"" OR ""Marketing Director"" OR ""Head of Marketing"" OR CMO)"</f>
        <v>site:linkedin.com/in "Synthesia" ("Partnerships" OR "Strategic Partnerships" OR "Brand Partnerships" OR "Strategic Alliances" OR "Business Development" OR "Sponsorship" OR "Experiential Marketing" OR "Event Marketing" OR "Corporate Communications" OR "Marketing Director" OR "Head of Marketing" OR CMO)</v>
      </c>
      <c r="I19" s="5" t="str">
        <f aca="false">"site:linkedin.com/in """ &amp; $B$19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"Synthesia"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9" s="5" t="str">
        <f aca="false">"""" &amp; $B$19 &amp; """ (""partnership"" OR ""partnerships"" OR sponsorship OR sponsor OR ""strategic partnership"" OR ""brand partnership"" OR ""business development"" OR alliances OR ""corporate communications"") (contact OR email OR ""contact us"" OR ""media contact"")"</f>
        <v>"Synthesia" ("partnership" OR "partnerships" OR sponsorship OR sponsor OR "strategic partnership" OR "brand partnership" OR "business development" OR alliances OR "corporate communications") (contact OR email OR "contact us" OR "media contact")</v>
      </c>
      <c r="K19" s="5" t="str">
        <f aca="false">"""" &amp; $B$19 &amp; """ India (""partnership"" OR ""partnerships"" OR sponsorship OR sponsor OR ""strategic partnership"" OR ""brand partnership"" OR ""business development"" OR alliances OR ""corporate communications"") (contact OR email OR ""contact us"" OR ""media contact"")"</f>
        <v>"Synthesia" India ("partnership" OR "partnerships" OR sponsorship OR sponsor OR "strategic partnership" OR "brand partnership" OR "business development" OR alliances OR "corporate communications") (contact OR email OR "contact us" OR "media contact")</v>
      </c>
      <c r="L19" s="5" t="s">
        <v>22</v>
      </c>
      <c r="M19" s="5" t="s">
        <v>23</v>
      </c>
      <c r="N19" s="5"/>
    </row>
    <row r="20" customFormat="false" ht="15" hidden="false" customHeight="true" outlineLevel="0" collapsed="false">
      <c r="A20" s="5" t="n">
        <v>17</v>
      </c>
      <c r="B20" s="5" t="s">
        <v>79</v>
      </c>
      <c r="C20" s="5" t="s">
        <v>17</v>
      </c>
      <c r="D20" s="5" t="s">
        <v>80</v>
      </c>
      <c r="E20" s="5" t="s">
        <v>81</v>
      </c>
      <c r="F20" s="5" t="s">
        <v>82</v>
      </c>
      <c r="G20" s="5" t="s">
        <v>21</v>
      </c>
      <c r="H20" s="5" t="str">
        <f aca="false">"site:linkedin.com/in """ &amp; $B$20 &amp; """ (""Partnerships"" OR ""Strategic Partnerships"" OR ""Brand Partnerships"" OR ""Strategic Alliances"" OR ""Business Development"" OR ""Sponsorship"" OR ""Experiential Marketing"" OR ""Event Marketing"" OR ""Corporate Communications"" OR ""Marketing Director"" OR ""Head of Marketing"" OR CMO)"</f>
        <v>site:linkedin.com/in "HeyGen" ("Partnerships" OR "Strategic Partnerships" OR "Brand Partnerships" OR "Strategic Alliances" OR "Business Development" OR "Sponsorship" OR "Experiential Marketing" OR "Event Marketing" OR "Corporate Communications" OR "Marketing Director" OR "Head of Marketing" OR CMO)</v>
      </c>
      <c r="I20" s="5" t="str">
        <f aca="false">"site:linkedin.com/in """ &amp; $B$20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"HeyGen"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0" s="5" t="str">
        <f aca="false">"""" &amp; $B$20 &amp; """ (""partnership"" OR ""partnerships"" OR sponsorship OR sponsor OR ""strategic partnership"" OR ""brand partnership"" OR ""business development"" OR alliances OR ""corporate communications"") (contact OR email OR ""contact us"" OR ""media contact"")"</f>
        <v>"HeyGen" ("partnership" OR "partnerships" OR sponsorship OR sponsor OR "strategic partnership" OR "brand partnership" OR "business development" OR alliances OR "corporate communications") (contact OR email OR "contact us" OR "media contact")</v>
      </c>
      <c r="K20" s="5" t="str">
        <f aca="false">"""" &amp; $B$20 &amp; """ India (""partnership"" OR ""partnerships"" OR sponsorship OR sponsor OR ""strategic partnership"" OR ""brand partnership"" OR ""business development"" OR alliances OR ""corporate communications"") (contact OR email OR ""contact us"" OR ""media contact"")"</f>
        <v>"HeyGen" India ("partnership" OR "partnerships" OR sponsorship OR sponsor OR "strategic partnership" OR "brand partnership" OR "business development" OR alliances OR "corporate communications") (contact OR email OR "contact us" OR "media contact")</v>
      </c>
      <c r="L20" s="5" t="s">
        <v>22</v>
      </c>
      <c r="M20" s="5" t="s">
        <v>28</v>
      </c>
      <c r="N20" s="5"/>
    </row>
    <row r="21" customFormat="false" ht="15" hidden="false" customHeight="true" outlineLevel="0" collapsed="false">
      <c r="A21" s="5" t="n">
        <v>18</v>
      </c>
      <c r="B21" s="5" t="s">
        <v>83</v>
      </c>
      <c r="C21" s="5" t="s">
        <v>17</v>
      </c>
      <c r="D21" s="5" t="s">
        <v>51</v>
      </c>
      <c r="E21" s="5" t="s">
        <v>84</v>
      </c>
      <c r="F21" s="5" t="s">
        <v>85</v>
      </c>
      <c r="G21" s="5" t="s">
        <v>21</v>
      </c>
      <c r="H21" s="5" t="str">
        <f aca="false">"site:linkedin.com/in """ &amp; $B$21 &amp; """ (""Partnerships"" OR ""Strategic Partnerships"" OR ""Brand Partnerships"" OR ""Strategic Alliances"" OR ""Business Development"" OR ""Sponsorship"" OR ""Experiential Marketing"" OR ""Event Marketing"" OR ""Corporate Communications"" OR ""Marketing Director"" OR ""Head of Marketing"" OR CMO)"</f>
        <v>site:linkedin.com/in "D-ID" ("Partnerships" OR "Strategic Partnerships" OR "Brand Partnerships" OR "Strategic Alliances" OR "Business Development" OR "Sponsorship" OR "Experiential Marketing" OR "Event Marketing" OR "Corporate Communications" OR "Marketing Director" OR "Head of Marketing" OR CMO)</v>
      </c>
      <c r="I21" s="5" t="str">
        <f aca="false">"site:linkedin.com/in """ &amp; $B$21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"D-ID"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1" s="5" t="str">
        <f aca="false">"""" &amp; $B$21 &amp; """ (""partnership"" OR ""partnerships"" OR sponsorship OR sponsor OR ""strategic partnership"" OR ""brand partnership"" OR ""business development"" OR alliances OR ""corporate communications"") (contact OR email OR ""contact us"" OR ""media contact"")"</f>
        <v>"D-ID" ("partnership" OR "partnerships" OR sponsorship OR sponsor OR "strategic partnership" OR "brand partnership" OR "business development" OR alliances OR "corporate communications") (contact OR email OR "contact us" OR "media contact")</v>
      </c>
      <c r="K21" s="5" t="str">
        <f aca="false">"""" &amp; $B$21 &amp; """ India (""partnership"" OR ""partnerships"" OR sponsorship OR sponsor OR ""strategic partnership"" OR ""brand partnership"" OR ""business development"" OR alliances OR ""corporate communications"") (contact OR email OR ""contact us"" OR ""media contact"")"</f>
        <v>"D-ID" India ("partnership" OR "partnerships" OR sponsorship OR sponsor OR "strategic partnership" OR "brand partnership" OR "business development" OR alliances OR "corporate communications") (contact OR email OR "contact us" OR "media contact")</v>
      </c>
      <c r="L21" s="5" t="s">
        <v>22</v>
      </c>
      <c r="M21" s="5" t="s">
        <v>28</v>
      </c>
      <c r="N21" s="5"/>
    </row>
    <row r="22" customFormat="false" ht="15" hidden="false" customHeight="true" outlineLevel="0" collapsed="false">
      <c r="A22" s="5" t="n">
        <v>19</v>
      </c>
      <c r="B22" s="5" t="s">
        <v>86</v>
      </c>
      <c r="C22" s="5" t="s">
        <v>17</v>
      </c>
      <c r="D22" s="5" t="s">
        <v>43</v>
      </c>
      <c r="E22" s="5" t="s">
        <v>87</v>
      </c>
      <c r="F22" s="5" t="s">
        <v>88</v>
      </c>
      <c r="G22" s="5" t="s">
        <v>21</v>
      </c>
      <c r="H22" s="5" t="str">
        <f aca="false">"site:linkedin.com/in """ &amp; $B$22 &amp; """ (""Partnerships"" OR ""Strategic Partnerships"" OR ""Brand Partnerships"" OR ""Strategic Alliances"" OR ""Business Development"" OR ""Sponsorship"" OR ""Experiential Marketing"" OR ""Event Marketing"" OR ""Corporate Communications"" OR ""Marketing Director"" OR ""Head of Marketing"" OR CMO)"</f>
        <v>site:linkedin.com/in "Colossyan" ("Partnerships" OR "Strategic Partnerships" OR "Brand Partnerships" OR "Strategic Alliances" OR "Business Development" OR "Sponsorship" OR "Experiential Marketing" OR "Event Marketing" OR "Corporate Communications" OR "Marketing Director" OR "Head of Marketing" OR CMO)</v>
      </c>
      <c r="I22" s="5" t="str">
        <f aca="false">"site:linkedin.com/in """ &amp; $B$22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"Colossyan"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2" s="5" t="str">
        <f aca="false">"""" &amp; $B$22 &amp; """ (""partnership"" OR ""partnerships"" OR sponsorship OR sponsor OR ""strategic partnership"" OR ""brand partnership"" OR ""business development"" OR alliances OR ""corporate communications"") (contact OR email OR ""contact us"" OR ""media contact"")"</f>
        <v>"Colossyan" ("partnership" OR "partnerships" OR sponsorship OR sponsor OR "strategic partnership" OR "brand partnership" OR "business development" OR alliances OR "corporate communications") (contact OR email OR "contact us" OR "media contact")</v>
      </c>
      <c r="K22" s="5" t="str">
        <f aca="false">"""" &amp; $B$22 &amp; """ India (""partnership"" OR ""partnerships"" OR sponsorship OR sponsor OR ""strategic partnership"" OR ""brand partnership"" OR ""business development"" OR alliances OR ""corporate communications"") (contact OR email OR ""contact us"" OR ""media contact"")"</f>
        <v>"Colossyan" India ("partnership" OR "partnerships" OR sponsorship OR sponsor OR "strategic partnership" OR "brand partnership" OR "business development" OR alliances OR "corporate communications") (contact OR email OR "contact us" OR "media contact")</v>
      </c>
      <c r="L22" s="5" t="s">
        <v>22</v>
      </c>
      <c r="M22" s="5" t="s">
        <v>28</v>
      </c>
      <c r="N22" s="5"/>
    </row>
    <row r="23" customFormat="false" ht="15" hidden="false" customHeight="true" outlineLevel="0" collapsed="false">
      <c r="A23" s="5" t="n">
        <v>20</v>
      </c>
      <c r="B23" s="5" t="s">
        <v>89</v>
      </c>
      <c r="C23" s="5" t="s">
        <v>17</v>
      </c>
      <c r="D23" s="5" t="s">
        <v>18</v>
      </c>
      <c r="E23" s="5" t="s">
        <v>90</v>
      </c>
      <c r="F23" s="5" t="s">
        <v>91</v>
      </c>
      <c r="G23" s="5" t="s">
        <v>21</v>
      </c>
      <c r="H23" s="5" t="str">
        <f aca="false">"site:linkedin.com/in """ &amp; $B$23 &amp; """ (""Partnerships"" OR ""Strategic Partnerships"" OR ""Brand Partnerships"" OR ""Strategic Alliances"" OR ""Business Development"" OR ""Sponsorship"" OR ""Experiential Marketing"" OR ""Event Marketing"" OR ""Corporate Communications"" OR ""Marketing Director"" OR ""Head of Marketing"" OR CMO)"</f>
        <v>site:linkedin.com/in "Descript" ("Partnerships" OR "Strategic Partnerships" OR "Brand Partnerships" OR "Strategic Alliances" OR "Business Development" OR "Sponsorship" OR "Experiential Marketing" OR "Event Marketing" OR "Corporate Communications" OR "Marketing Director" OR "Head of Marketing" OR CMO)</v>
      </c>
      <c r="I23" s="5" t="str">
        <f aca="false">"site:linkedin.com/in """ &amp; $B$23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"Descript"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3" s="5" t="str">
        <f aca="false">"""" &amp; $B$23 &amp; """ (""partnership"" OR ""partnerships"" OR sponsorship OR sponsor OR ""strategic partnership"" OR ""brand partnership"" OR ""business development"" OR alliances OR ""corporate communications"") (contact OR email OR ""contact us"" OR ""media contact"")"</f>
        <v>"Descript" ("partnership" OR "partnerships" OR sponsorship OR sponsor OR "strategic partnership" OR "brand partnership" OR "business development" OR alliances OR "corporate communications") (contact OR email OR "contact us" OR "media contact")</v>
      </c>
      <c r="K23" s="5" t="str">
        <f aca="false">"""" &amp; $B$23 &amp; """ India (""partnership"" OR ""partnerships"" OR sponsorship OR sponsor OR ""strategic partnership"" OR ""brand partnership"" OR ""business development"" OR alliances OR ""corporate communications"") (contact OR email OR ""contact us"" OR ""media contact"")"</f>
        <v>"Descript" India ("partnership" OR "partnerships" OR sponsorship OR sponsor OR "strategic partnership" OR "brand partnership" OR "business development" OR alliances OR "corporate communications") (contact OR email OR "contact us" OR "media contact")</v>
      </c>
      <c r="L23" s="5" t="s">
        <v>22</v>
      </c>
      <c r="M23" s="5" t="s">
        <v>92</v>
      </c>
      <c r="N23" s="5"/>
    </row>
    <row r="24" customFormat="false" ht="15" hidden="false" customHeight="true" outlineLevel="0" collapsed="false">
      <c r="A24" s="5" t="n">
        <v>21</v>
      </c>
      <c r="B24" s="5" t="s">
        <v>93</v>
      </c>
      <c r="C24" s="5" t="s">
        <v>17</v>
      </c>
      <c r="D24" s="5" t="s">
        <v>18</v>
      </c>
      <c r="E24" s="5" t="s">
        <v>94</v>
      </c>
      <c r="F24" s="5" t="s">
        <v>95</v>
      </c>
      <c r="G24" s="5" t="s">
        <v>21</v>
      </c>
      <c r="H24" s="5" t="str">
        <f aca="false">"site:linkedin.com/in """ &amp; $B$24 &amp; """ (""Partnerships"" OR ""Strategic Partnerships"" OR ""Brand Partnerships"" OR ""Strategic Alliances"" OR ""Business Development"" OR ""Sponsorship"" OR ""Experiential Marketing"" OR ""Event Marketing"" OR ""Corporate Communications"" OR ""Marketing Director"" OR ""Head of Marketing"" OR CMO)"</f>
        <v>site:linkedin.com/in "OpusClip (Opus.pro)" ("Partnerships" OR "Strategic Partnerships" OR "Brand Partnerships" OR "Strategic Alliances" OR "Business Development" OR "Sponsorship" OR "Experiential Marketing" OR "Event Marketing" OR "Corporate Communications" OR "Marketing Director" OR "Head of Marketing" OR CMO)</v>
      </c>
      <c r="I24" s="5" t="str">
        <f aca="false">"site:linkedin.com/in """ &amp; $B$24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"OpusClip (Opus.pro)"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4" s="5" t="str">
        <f aca="false">"""" &amp; $B$24 &amp; """ (""partnership"" OR ""partnerships"" OR sponsorship OR sponsor OR ""strategic partnership"" OR ""brand partnership"" OR ""business development"" OR alliances OR ""corporate communications"") (contact OR email OR ""contact us"" OR ""media contact"")"</f>
        <v>"OpusClip (Opus.pro)" ("partnership" OR "partnerships" OR sponsorship OR sponsor OR "strategic partnership" OR "brand partnership" OR "business development" OR alliances OR "corporate communications") (contact OR email OR "contact us" OR "media contact")</v>
      </c>
      <c r="K24" s="5" t="str">
        <f aca="false">"""" &amp; $B$24 &amp; """ India (""partnership"" OR ""partnerships"" OR sponsorship OR sponsor OR ""strategic partnership"" OR ""brand partnership"" OR ""business development"" OR alliances OR ""corporate communications"") (contact OR email OR ""contact us"" OR ""media contact"")"</f>
        <v>"OpusClip (Opus.pro)" India ("partnership" OR "partnerships" OR sponsorship OR sponsor OR "strategic partnership" OR "brand partnership" OR "business development" OR alliances OR "corporate communications") (contact OR email OR "contact us" OR "media contact")</v>
      </c>
      <c r="L24" s="5" t="s">
        <v>22</v>
      </c>
      <c r="M24" s="5" t="s">
        <v>23</v>
      </c>
      <c r="N24" s="5"/>
    </row>
    <row r="25" customFormat="false" ht="15" hidden="false" customHeight="true" outlineLevel="0" collapsed="false">
      <c r="A25" s="5" t="n">
        <v>22</v>
      </c>
      <c r="B25" s="5" t="s">
        <v>96</v>
      </c>
      <c r="C25" s="5" t="s">
        <v>17</v>
      </c>
      <c r="D25" s="5" t="s">
        <v>73</v>
      </c>
      <c r="E25" s="5" t="s">
        <v>97</v>
      </c>
      <c r="F25" s="5" t="s">
        <v>98</v>
      </c>
      <c r="G25" s="5" t="s">
        <v>21</v>
      </c>
      <c r="H25" s="5" t="str">
        <f aca="false">"site:linkedin.com/in """ &amp; $B$25 &amp; """ (""Partnerships"" OR ""Strategic Partnerships"" OR ""Brand Partnerships"" OR ""Strategic Alliances"" OR ""Business Development"" OR ""Sponsorship"" OR ""Experiential Marketing"" OR ""Event Marketing"" OR ""Corporate Communications"" OR ""Marketing Director"" OR ""Head of Marketing"" OR CMO)"</f>
        <v>site:linkedin.com/in "Captions (Mirage)" ("Partnerships" OR "Strategic Partnerships" OR "Brand Partnerships" OR "Strategic Alliances" OR "Business Development" OR "Sponsorship" OR "Experiential Marketing" OR "Event Marketing" OR "Corporate Communications" OR "Marketing Director" OR "Head of Marketing" OR CMO)</v>
      </c>
      <c r="I25" s="5" t="str">
        <f aca="false">"site:linkedin.com/in """ &amp; $B$25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"Captions (Mirage)"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5" s="5" t="str">
        <f aca="false">"""" &amp; $B$25 &amp; """ (""partnership"" OR ""partnerships"" OR sponsorship OR sponsor OR ""strategic partnership"" OR ""brand partnership"" OR ""business development"" OR alliances OR ""corporate communications"") (contact OR email OR ""contact us"" OR ""media contact"")"</f>
        <v>"Captions (Mirage)" ("partnership" OR "partnerships" OR sponsorship OR sponsor OR "strategic partnership" OR "brand partnership" OR "business development" OR alliances OR "corporate communications") (contact OR email OR "contact us" OR "media contact")</v>
      </c>
      <c r="K25" s="5" t="str">
        <f aca="false">"""" &amp; $B$25 &amp; """ India (""partnership"" OR ""partnerships"" OR sponsorship OR sponsor OR ""strategic partnership"" OR ""brand partnership"" OR ""business development"" OR alliances OR ""corporate communications"") (contact OR email OR ""contact us"" OR ""media contact"")"</f>
        <v>"Captions (Mirage)" India ("partnership" OR "partnerships" OR sponsorship OR sponsor OR "strategic partnership" OR "brand partnership" OR "business development" OR alliances OR "corporate communications") (contact OR email OR "contact us" OR "media contact")</v>
      </c>
      <c r="L25" s="5" t="s">
        <v>22</v>
      </c>
      <c r="M25" s="5" t="s">
        <v>23</v>
      </c>
      <c r="N25" s="5"/>
    </row>
    <row r="26" customFormat="false" ht="15" hidden="false" customHeight="true" outlineLevel="0" collapsed="false">
      <c r="A26" s="5" t="n">
        <v>23</v>
      </c>
      <c r="B26" s="5" t="s">
        <v>99</v>
      </c>
      <c r="C26" s="5" t="s">
        <v>17</v>
      </c>
      <c r="D26" s="5" t="s">
        <v>100</v>
      </c>
      <c r="E26" s="5" t="s">
        <v>101</v>
      </c>
      <c r="F26" s="5" t="s">
        <v>102</v>
      </c>
      <c r="G26" s="5" t="s">
        <v>21</v>
      </c>
      <c r="H26" s="5" t="str">
        <f aca="false">"site:linkedin.com/in """ &amp; $B$26 &amp; """ (""Partnerships"" OR ""Strategic Partnerships"" OR ""Brand Partnerships"" OR ""Strategic Alliances"" OR ""Business Development"" OR ""Sponsorship"" OR ""Experiential Marketing"" OR ""Event Marketing"" OR ""Corporate Communications"" OR ""Marketing Director"" OR ""Head of Marketing"" OR CMO)"</f>
        <v>site:linkedin.com/in "Topaz Labs" ("Partnerships" OR "Strategic Partnerships" OR "Brand Partnerships" OR "Strategic Alliances" OR "Business Development" OR "Sponsorship" OR "Experiential Marketing" OR "Event Marketing" OR "Corporate Communications" OR "Marketing Director" OR "Head of Marketing" OR CMO)</v>
      </c>
      <c r="I26" s="5" t="str">
        <f aca="false">"site:linkedin.com/in """ &amp; $B$26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"Topaz Labs"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6" s="5" t="str">
        <f aca="false">"""" &amp; $B$26 &amp; """ (""partnership"" OR ""partnerships"" OR sponsorship OR sponsor OR ""strategic partnership"" OR ""brand partnership"" OR ""business development"" OR alliances OR ""corporate communications"") (contact OR email OR ""contact us"" OR ""media contact"")"</f>
        <v>"Topaz Labs" ("partnership" OR "partnerships" OR sponsorship OR sponsor OR "strategic partnership" OR "brand partnership" OR "business development" OR alliances OR "corporate communications") (contact OR email OR "contact us" OR "media contact")</v>
      </c>
      <c r="K26" s="5" t="str">
        <f aca="false">"""" &amp; $B$26 &amp; """ India (""partnership"" OR ""partnerships"" OR sponsorship OR sponsor OR ""strategic partnership"" OR ""brand partnership"" OR ""business development"" OR alliances OR ""corporate communications"") (contact OR email OR ""contact us"" OR ""media contact"")"</f>
        <v>"Topaz Labs" India ("partnership" OR "partnerships" OR sponsorship OR sponsor OR "strategic partnership" OR "brand partnership" OR "business development" OR alliances OR "corporate communications") (contact OR email OR "contact us" OR "media contact")</v>
      </c>
      <c r="L26" s="5" t="s">
        <v>22</v>
      </c>
      <c r="M26" s="5" t="s">
        <v>23</v>
      </c>
      <c r="N26" s="5"/>
    </row>
    <row r="27" customFormat="false" ht="15" hidden="false" customHeight="true" outlineLevel="0" collapsed="false">
      <c r="A27" s="5" t="n">
        <v>24</v>
      </c>
      <c r="B27" s="5" t="s">
        <v>103</v>
      </c>
      <c r="C27" s="5" t="s">
        <v>17</v>
      </c>
      <c r="D27" s="5" t="s">
        <v>104</v>
      </c>
      <c r="E27" s="5" t="s">
        <v>105</v>
      </c>
      <c r="F27" s="5" t="s">
        <v>106</v>
      </c>
      <c r="G27" s="5" t="s">
        <v>21</v>
      </c>
      <c r="H27" s="5" t="str">
        <f aca="false">"site:linkedin.com/in """ &amp; $B$27 &amp; """ (""Partnerships"" OR ""Strategic Partnerships"" OR ""Brand Partnerships"" OR ""Strategic Alliances"" OR ""Business Development"" OR ""Sponsorship"" OR ""Experiential Marketing"" OR ""Event Marketing"" OR ""Corporate Communications"" OR ""Marketing Director"" OR ""Head of Marketing"" OR CMO)"</f>
        <v>site:linkedin.com/in "Ideogram" ("Partnerships" OR "Strategic Partnerships" OR "Brand Partnerships" OR "Strategic Alliances" OR "Business Development" OR "Sponsorship" OR "Experiential Marketing" OR "Event Marketing" OR "Corporate Communications" OR "Marketing Director" OR "Head of Marketing" OR CMO)</v>
      </c>
      <c r="I27" s="5" t="str">
        <f aca="false">"site:linkedin.com/in """ &amp; $B$27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"Ideogram"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7" s="5" t="str">
        <f aca="false">"""" &amp; $B$27 &amp; """ (""partnership"" OR ""partnerships"" OR sponsorship OR sponsor OR ""strategic partnership"" OR ""brand partnership"" OR ""business development"" OR alliances OR ""corporate communications"") (contact OR email OR ""contact us"" OR ""media contact"")"</f>
        <v>"Ideogram" ("partnership" OR "partnerships" OR sponsorship OR sponsor OR "strategic partnership" OR "brand partnership" OR "business development" OR alliances OR "corporate communications") (contact OR email OR "contact us" OR "media contact")</v>
      </c>
      <c r="K27" s="5" t="str">
        <f aca="false">"""" &amp; $B$27 &amp; """ India (""partnership"" OR ""partnerships"" OR sponsorship OR sponsor OR ""strategic partnership"" OR ""brand partnership"" OR ""business development"" OR alliances OR ""corporate communications"") (contact OR email OR ""contact us"" OR ""media contact"")"</f>
        <v>"Ideogram" India ("partnership" OR "partnerships" OR sponsorship OR sponsor OR "strategic partnership" OR "brand partnership" OR "business development" OR alliances OR "corporate communications") (contact OR email OR "contact us" OR "media contact")</v>
      </c>
      <c r="L27" s="5" t="s">
        <v>22</v>
      </c>
      <c r="M27" s="5" t="s">
        <v>28</v>
      </c>
      <c r="N27" s="5"/>
    </row>
    <row r="28" customFormat="false" ht="15" hidden="false" customHeight="true" outlineLevel="0" collapsed="false">
      <c r="A28" s="5" t="n">
        <v>25</v>
      </c>
      <c r="B28" s="5" t="s">
        <v>107</v>
      </c>
      <c r="C28" s="5" t="s">
        <v>17</v>
      </c>
      <c r="D28" s="5" t="s">
        <v>108</v>
      </c>
      <c r="E28" s="5" t="s">
        <v>109</v>
      </c>
      <c r="F28" s="5" t="s">
        <v>110</v>
      </c>
      <c r="G28" s="5" t="s">
        <v>21</v>
      </c>
      <c r="H28" s="5" t="str">
        <f aca="false">"site:linkedin.com/in """ &amp; $B$28 &amp; """ (""Partnerships"" OR ""Strategic Partnerships"" OR ""Brand Partnerships"" OR ""Strategic Alliances"" OR ""Business Development"" OR ""Sponsorship"" OR ""Experiential Marketing"" OR ""Event Marketing"" OR ""Corporate Communications"" OR ""Marketing Director"" OR ""Head of Marketing"" OR CMO)"</f>
        <v>site:linkedin.com/in "Black Forest Labs" ("Partnerships" OR "Strategic Partnerships" OR "Brand Partnerships" OR "Strategic Alliances" OR "Business Development" OR "Sponsorship" OR "Experiential Marketing" OR "Event Marketing" OR "Corporate Communications" OR "Marketing Director" OR "Head of Marketing" OR CMO)</v>
      </c>
      <c r="I28" s="5" t="str">
        <f aca="false">"site:linkedin.com/in """ &amp; $B$28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"Black Forest Labs"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8" s="5" t="str">
        <f aca="false">"""" &amp; $B$28 &amp; """ (""partnership"" OR ""partnerships"" OR sponsorship OR sponsor OR ""strategic partnership"" OR ""brand partnership"" OR ""business development"" OR alliances OR ""corporate communications"") (contact OR email OR ""contact us"" OR ""media contact"")"</f>
        <v>"Black Forest Labs" ("partnership" OR "partnerships" OR sponsorship OR sponsor OR "strategic partnership" OR "brand partnership" OR "business development" OR alliances OR "corporate communications") (contact OR email OR "contact us" OR "media contact")</v>
      </c>
      <c r="K28" s="5" t="str">
        <f aca="false">"""" &amp; $B$28 &amp; """ India (""partnership"" OR ""partnerships"" OR sponsorship OR sponsor OR ""strategic partnership"" OR ""brand partnership"" OR ""business development"" OR alliances OR ""corporate communications"") (contact OR email OR ""contact us"" OR ""media contact"")"</f>
        <v>"Black Forest Labs" India ("partnership" OR "partnerships" OR sponsorship OR sponsor OR "strategic partnership" OR "brand partnership" OR "business development" OR alliances OR "corporate communications") (contact OR email OR "contact us" OR "media contact")</v>
      </c>
      <c r="L28" s="5" t="s">
        <v>22</v>
      </c>
      <c r="M28" s="5" t="s">
        <v>23</v>
      </c>
      <c r="N28" s="5"/>
    </row>
    <row r="29" customFormat="false" ht="15" hidden="false" customHeight="true" outlineLevel="0" collapsed="false">
      <c r="A29" s="5" t="n">
        <v>26</v>
      </c>
      <c r="B29" s="5" t="s">
        <v>111</v>
      </c>
      <c r="C29" s="5" t="s">
        <v>17</v>
      </c>
      <c r="D29" s="5" t="s">
        <v>43</v>
      </c>
      <c r="E29" s="5" t="s">
        <v>112</v>
      </c>
      <c r="F29" s="5" t="s">
        <v>113</v>
      </c>
      <c r="G29" s="5" t="s">
        <v>21</v>
      </c>
      <c r="H29" s="5" t="str">
        <f aca="false">"site:linkedin.com/in """ &amp; $B$29 &amp; """ (""Partnerships"" OR ""Strategic Partnerships"" OR ""Brand Partnerships"" OR ""Strategic Alliances"" OR ""Business Development"" OR ""Sponsorship"" OR ""Experiential Marketing"" OR ""Event Marketing"" OR ""Corporate Communications"" OR ""Marketing Director"" OR ""Head of Marketing"" OR CMO)"</f>
        <v>site:linkedin.com/in "Stability AI" ("Partnerships" OR "Strategic Partnerships" OR "Brand Partnerships" OR "Strategic Alliances" OR "Business Development" OR "Sponsorship" OR "Experiential Marketing" OR "Event Marketing" OR "Corporate Communications" OR "Marketing Director" OR "Head of Marketing" OR CMO)</v>
      </c>
      <c r="I29" s="5" t="str">
        <f aca="false">"site:linkedin.com/in """ &amp; $B$29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"Stability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29" s="5" t="str">
        <f aca="false">"""" &amp; $B$29 &amp; """ (""partnership"" OR ""partnerships"" OR sponsorship OR sponsor OR ""strategic partnership"" OR ""brand partnership"" OR ""business development"" OR alliances OR ""corporate communications"") (contact OR email OR ""contact us"" OR ""media contact"")"</f>
        <v>"Stability AI" ("partnership" OR "partnerships" OR sponsorship OR sponsor OR "strategic partnership" OR "brand partnership" OR "business development" OR alliances OR "corporate communications") (contact OR email OR "contact us" OR "media contact")</v>
      </c>
      <c r="K29" s="5" t="str">
        <f aca="false">"""" &amp; $B$29 &amp; """ India (""partnership"" OR ""partnerships"" OR sponsorship OR sponsor OR ""strategic partnership"" OR ""brand partnership"" OR ""business development"" OR alliances OR ""corporate communications"") (contact OR email OR ""contact us"" OR ""media contact"")"</f>
        <v>"Stability AI" India ("partnership" OR "partnerships" OR sponsorship OR sponsor OR "strategic partnership" OR "brand partnership" OR "business development" OR alliances OR "corporate communications") (contact OR email OR "contact us" OR "media contact")</v>
      </c>
      <c r="L29" s="5" t="s">
        <v>22</v>
      </c>
      <c r="M29" s="5" t="s">
        <v>23</v>
      </c>
      <c r="N29" s="5"/>
    </row>
    <row r="30" customFormat="false" ht="15" hidden="false" customHeight="true" outlineLevel="0" collapsed="false">
      <c r="A30" s="5" t="n">
        <v>27</v>
      </c>
      <c r="B30" s="5" t="s">
        <v>114</v>
      </c>
      <c r="C30" s="5" t="s">
        <v>17</v>
      </c>
      <c r="D30" s="5" t="s">
        <v>18</v>
      </c>
      <c r="E30" s="5" t="s">
        <v>115</v>
      </c>
      <c r="F30" s="5" t="s">
        <v>116</v>
      </c>
      <c r="G30" s="5" t="s">
        <v>21</v>
      </c>
      <c r="H30" s="5" t="str">
        <f aca="false">"site:linkedin.com/in """ &amp; $B$30 &amp; """ (""Partnerships"" OR ""Strategic Partnerships"" OR ""Brand Partnerships"" OR ""Strategic Alliances"" OR ""Business Development"" OR ""Sponsorship"" OR ""Experiential Marketing"" OR ""Event Marketing"" OR ""Corporate Communications"" OR ""Marketing Director"" OR ""Head of Marketing"" OR CMO)"</f>
        <v>site:linkedin.com/in "Krea AI" ("Partnerships" OR "Strategic Partnerships" OR "Brand Partnerships" OR "Strategic Alliances" OR "Business Development" OR "Sponsorship" OR "Experiential Marketing" OR "Event Marketing" OR "Corporate Communications" OR "Marketing Director" OR "Head of Marketing" OR CMO)</v>
      </c>
      <c r="I30" s="5" t="str">
        <f aca="false">"site:linkedin.com/in """ &amp; $B$30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"Krea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0" s="5" t="str">
        <f aca="false">"""" &amp; $B$30 &amp; """ (""partnership"" OR ""partnerships"" OR sponsorship OR sponsor OR ""strategic partnership"" OR ""brand partnership"" OR ""business development"" OR alliances OR ""corporate communications"") (contact OR email OR ""contact us"" OR ""media contact"")"</f>
        <v>"Krea AI" ("partnership" OR "partnerships" OR sponsorship OR sponsor OR "strategic partnership" OR "brand partnership" OR "business development" OR alliances OR "corporate communications") (contact OR email OR "contact us" OR "media contact")</v>
      </c>
      <c r="K30" s="5" t="str">
        <f aca="false">"""" &amp; $B$30 &amp; """ India (""partnership"" OR ""partnerships"" OR sponsorship OR sponsor OR ""strategic partnership"" OR ""brand partnership"" OR ""business development"" OR alliances OR ""corporate communications"") (contact OR email OR ""contact us"" OR ""media contact"")"</f>
        <v>"Krea AI" India ("partnership" OR "partnerships" OR sponsorship OR sponsor OR "strategic partnership" OR "brand partnership" OR "business development" OR alliances OR "corporate communications") (contact OR email OR "contact us" OR "media contact")</v>
      </c>
      <c r="L30" s="5" t="s">
        <v>22</v>
      </c>
      <c r="M30" s="5" t="s">
        <v>28</v>
      </c>
      <c r="N30" s="5"/>
    </row>
    <row r="31" customFormat="false" ht="15" hidden="false" customHeight="true" outlineLevel="0" collapsed="false">
      <c r="A31" s="5" t="n">
        <v>28</v>
      </c>
      <c r="B31" s="5" t="s">
        <v>117</v>
      </c>
      <c r="C31" s="5" t="s">
        <v>17</v>
      </c>
      <c r="D31" s="5" t="s">
        <v>118</v>
      </c>
      <c r="E31" s="5" t="s">
        <v>119</v>
      </c>
      <c r="F31" s="5" t="s">
        <v>120</v>
      </c>
      <c r="G31" s="5" t="s">
        <v>21</v>
      </c>
      <c r="H31" s="5" t="str">
        <f aca="false">"site:linkedin.com/in """ &amp; $B$31 &amp; """ (""Partnerships"" OR ""Strategic Partnerships"" OR ""Brand Partnerships"" OR ""Strategic Alliances"" OR ""Business Development"" OR ""Sponsorship"" OR ""Experiential Marketing"" OR ""Event Marketing"" OR ""Corporate Communications"" OR ""Marketing Director"" OR ""Head of Marketing"" OR CMO)"</f>
        <v>site:linkedin.com/in "Photoroom" ("Partnerships" OR "Strategic Partnerships" OR "Brand Partnerships" OR "Strategic Alliances" OR "Business Development" OR "Sponsorship" OR "Experiential Marketing" OR "Event Marketing" OR "Corporate Communications" OR "Marketing Director" OR "Head of Marketing" OR CMO)</v>
      </c>
      <c r="I31" s="5" t="str">
        <f aca="false">"site:linkedin.com/in """ &amp; $B$31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"Photoroom"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1" s="5" t="str">
        <f aca="false">"""" &amp; $B$31 &amp; """ (""partnership"" OR ""partnerships"" OR sponsorship OR sponsor OR ""strategic partnership"" OR ""brand partnership"" OR ""business development"" OR alliances OR ""corporate communications"") (contact OR email OR ""contact us"" OR ""media contact"")"</f>
        <v>"Photoroom" ("partnership" OR "partnerships" OR sponsorship OR sponsor OR "strategic partnership" OR "brand partnership" OR "business development" OR alliances OR "corporate communications") (contact OR email OR "contact us" OR "media contact")</v>
      </c>
      <c r="K31" s="5" t="str">
        <f aca="false">"""" &amp; $B$31 &amp; """ India (""partnership"" OR ""partnerships"" OR sponsorship OR sponsor OR ""strategic partnership"" OR ""brand partnership"" OR ""business development"" OR alliances OR ""corporate communications"") (contact OR email OR ""contact us"" OR ""media contact"")"</f>
        <v>"Photoroom" India ("partnership" OR "partnerships" OR sponsorship OR sponsor OR "strategic partnership" OR "brand partnership" OR "business development" OR alliances OR "corporate communications") (contact OR email OR "contact us" OR "media contact")</v>
      </c>
      <c r="L31" s="5" t="s">
        <v>22</v>
      </c>
      <c r="M31" s="5" t="s">
        <v>28</v>
      </c>
      <c r="N31" s="5"/>
    </row>
    <row r="32" customFormat="false" ht="15" hidden="false" customHeight="true" outlineLevel="0" collapsed="false">
      <c r="A32" s="5" t="n">
        <v>29</v>
      </c>
      <c r="B32" s="5" t="s">
        <v>121</v>
      </c>
      <c r="C32" s="5" t="s">
        <v>17</v>
      </c>
      <c r="D32" s="5" t="s">
        <v>43</v>
      </c>
      <c r="E32" s="5" t="s">
        <v>122</v>
      </c>
      <c r="F32" s="5" t="s">
        <v>123</v>
      </c>
      <c r="G32" s="5" t="s">
        <v>21</v>
      </c>
      <c r="H32" s="5" t="str">
        <f aca="false">"site:linkedin.com/in """ &amp; $B$32 &amp; """ (""Partnerships"" OR ""Strategic Partnerships"" OR ""Brand Partnerships"" OR ""Strategic Alliances"" OR ""Business Development"" OR ""Sponsorship"" OR ""Experiential Marketing"" OR ""Event Marketing"" OR ""Corporate Communications"" OR ""Marketing Director"" OR ""Head of Marketing"" OR CMO)"</f>
        <v>site:linkedin.com/in "Move AI" ("Partnerships" OR "Strategic Partnerships" OR "Brand Partnerships" OR "Strategic Alliances" OR "Business Development" OR "Sponsorship" OR "Experiential Marketing" OR "Event Marketing" OR "Corporate Communications" OR "Marketing Director" OR "Head of Marketing" OR CMO)</v>
      </c>
      <c r="I32" s="5" t="str">
        <f aca="false">"site:linkedin.com/in """ &amp; $B$32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"Move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2" s="5" t="str">
        <f aca="false">"""" &amp; $B$32 &amp; """ (""partnership"" OR ""partnerships"" OR sponsorship OR sponsor OR ""strategic partnership"" OR ""brand partnership"" OR ""business development"" OR alliances OR ""corporate communications"") (contact OR email OR ""contact us"" OR ""media contact"")"</f>
        <v>"Move AI" ("partnership" OR "partnerships" OR sponsorship OR sponsor OR "strategic partnership" OR "brand partnership" OR "business development" OR alliances OR "corporate communications") (contact OR email OR "contact us" OR "media contact")</v>
      </c>
      <c r="K32" s="5" t="str">
        <f aca="false">"""" &amp; $B$32 &amp; """ India (""partnership"" OR ""partnerships"" OR sponsorship OR sponsor OR ""strategic partnership"" OR ""brand partnership"" OR ""business development"" OR alliances OR ""corporate communications"") (contact OR email OR ""contact us"" OR ""media contact"")"</f>
        <v>"Move AI" India ("partnership" OR "partnerships" OR sponsorship OR sponsor OR "strategic partnership" OR "brand partnership" OR "business development" OR alliances OR "corporate communications") (contact OR email OR "contact us" OR "media contact")</v>
      </c>
      <c r="L32" s="5" t="s">
        <v>22</v>
      </c>
      <c r="M32" s="5" t="s">
        <v>28</v>
      </c>
      <c r="N32" s="5"/>
    </row>
    <row r="33" customFormat="false" ht="15" hidden="false" customHeight="true" outlineLevel="0" collapsed="false">
      <c r="A33" s="5" t="n">
        <v>30</v>
      </c>
      <c r="B33" s="5" t="s">
        <v>124</v>
      </c>
      <c r="C33" s="5" t="s">
        <v>17</v>
      </c>
      <c r="D33" s="5" t="s">
        <v>80</v>
      </c>
      <c r="E33" s="5" t="s">
        <v>125</v>
      </c>
      <c r="F33" s="5" t="s">
        <v>126</v>
      </c>
      <c r="G33" s="5" t="s">
        <v>21</v>
      </c>
      <c r="H33" s="5" t="str">
        <f aca="false">"site:linkedin.com/in """ &amp; $B$33 &amp; """ (""Partnerships"" OR ""Strategic Partnerships"" OR ""Brand Partnerships"" OR ""Strategic Alliances"" OR ""Business Development"" OR ""Sponsorship"" OR ""Experiential Marketing"" OR ""Event Marketing"" OR ""Corporate Communications"" OR ""Marketing Director"" OR ""Head of Marketing"" OR CMO)"</f>
        <v>site:linkedin.com/in "Cuebric" ("Partnerships" OR "Strategic Partnerships" OR "Brand Partnerships" OR "Strategic Alliances" OR "Business Development" OR "Sponsorship" OR "Experiential Marketing" OR "Event Marketing" OR "Corporate Communications" OR "Marketing Director" OR "Head of Marketing" OR CMO)</v>
      </c>
      <c r="I33" s="5" t="str">
        <f aca="false">"site:linkedin.com/in """ &amp; $B$33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"Cuebric"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3" s="5" t="str">
        <f aca="false">"""" &amp; $B$33 &amp; """ (""partnership"" OR ""partnerships"" OR sponsorship OR sponsor OR ""strategic partnership"" OR ""brand partnership"" OR ""business development"" OR alliances OR ""corporate communications"") (contact OR email OR ""contact us"" OR ""media contact"")"</f>
        <v>"Cuebric" ("partnership" OR "partnerships" OR sponsorship OR sponsor OR "strategic partnership" OR "brand partnership" OR "business development" OR alliances OR "corporate communications") (contact OR email OR "contact us" OR "media contact")</v>
      </c>
      <c r="K33" s="5" t="str">
        <f aca="false">"""" &amp; $B$33 &amp; """ India (""partnership"" OR ""partnerships"" OR sponsorship OR sponsor OR ""strategic partnership"" OR ""brand partnership"" OR ""business development"" OR alliances OR ""corporate communications"") (contact OR email OR ""contact us"" OR ""media contact"")"</f>
        <v>"Cuebric" India ("partnership" OR "partnerships" OR sponsorship OR sponsor OR "strategic partnership" OR "brand partnership" OR "business development" OR alliances OR "corporate communications") (contact OR email OR "contact us" OR "media contact")</v>
      </c>
      <c r="L33" s="5" t="s">
        <v>22</v>
      </c>
      <c r="M33" s="5" t="s">
        <v>127</v>
      </c>
      <c r="N33" s="5"/>
    </row>
    <row r="34" customFormat="false" ht="15" hidden="false" customHeight="true" outlineLevel="0" collapsed="false">
      <c r="A34" s="5" t="n">
        <v>31</v>
      </c>
      <c r="B34" s="5" t="s">
        <v>128</v>
      </c>
      <c r="C34" s="5" t="s">
        <v>129</v>
      </c>
      <c r="D34" s="5" t="s">
        <v>130</v>
      </c>
      <c r="E34" s="5" t="s">
        <v>131</v>
      </c>
      <c r="F34" s="5" t="s">
        <v>132</v>
      </c>
      <c r="G34" s="5" t="s">
        <v>21</v>
      </c>
      <c r="H34" s="5" t="str">
        <f aca="false">"site:linkedin.com/in """ &amp; $B$34 &amp; """ (""Partnerships"" OR ""Strategic Partnerships"" OR ""Brand Partnerships"" OR ""Strategic Alliances"" OR ""Business Development"" OR ""Sponsorship"" OR ""Experiential Marketing"" OR ""Event Marketing"" OR ""Corporate Communications"" OR ""Marketing Director"" OR ""Head of Marketing"" OR CMO)"</f>
        <v>site:linkedin.com/in "NVIDIA" ("Partnerships" OR "Strategic Partnerships" OR "Brand Partnerships" OR "Strategic Alliances" OR "Business Development" OR "Sponsorship" OR "Experiential Marketing" OR "Event Marketing" OR "Corporate Communications" OR "Marketing Director" OR "Head of Marketing" OR CMO)</v>
      </c>
      <c r="I34" s="5" t="str">
        <f aca="false">"site:linkedin.com/in """ &amp; $B$34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"NVIDIA"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4" s="5" t="str">
        <f aca="false">"""" &amp; $B$34 &amp; """ (""partnership"" OR ""partnerships"" OR sponsorship OR sponsor OR ""strategic partnership"" OR ""brand partnership"" OR ""business development"" OR alliances OR ""corporate communications"") (contact OR email OR ""contact us"" OR ""media contact"")"</f>
        <v>"NVIDIA" ("partnership" OR "partnerships" OR sponsorship OR sponsor OR "strategic partnership" OR "brand partnership" OR "business development" OR alliances OR "corporate communications") (contact OR email OR "contact us" OR "media contact")</v>
      </c>
      <c r="K34" s="5" t="str">
        <f aca="false">"""" &amp; $B$34 &amp; """ India (""partnership"" OR ""partnerships"" OR sponsorship OR sponsor OR ""strategic partnership"" OR ""brand partnership"" OR ""business development"" OR alliances OR ""corporate communications"") (contact OR email OR ""contact us"" OR ""media contact"")"</f>
        <v>"NVIDIA" India ("partnership" OR "partnerships" OR sponsorship OR sponsor OR "strategic partnership" OR "brand partnership" OR "business development" OR alliances OR "corporate communications") (contact OR email OR "contact us" OR "media contact")</v>
      </c>
      <c r="L34" s="5" t="s">
        <v>22</v>
      </c>
      <c r="M34" s="5" t="s">
        <v>23</v>
      </c>
      <c r="N34" s="5"/>
    </row>
    <row r="35" customFormat="false" ht="15" hidden="false" customHeight="true" outlineLevel="0" collapsed="false">
      <c r="A35" s="5" t="n">
        <v>32</v>
      </c>
      <c r="B35" s="5" t="s">
        <v>133</v>
      </c>
      <c r="C35" s="5" t="s">
        <v>129</v>
      </c>
      <c r="D35" s="5" t="s">
        <v>134</v>
      </c>
      <c r="E35" s="5" t="s">
        <v>135</v>
      </c>
      <c r="F35" s="5" t="s">
        <v>136</v>
      </c>
      <c r="G35" s="5" t="s">
        <v>21</v>
      </c>
      <c r="H35" s="5" t="str">
        <f aca="false">"site:linkedin.com/in """ &amp; $B$35 &amp; """ (""Partnerships"" OR ""Strategic Partnerships"" OR ""Brand Partnerships"" OR ""Strategic Alliances"" OR ""Business Development"" OR ""Sponsorship"" OR ""Experiential Marketing"" OR ""Event Marketing"" OR ""Corporate Communications"" OR ""Marketing Director"" OR ""Head of Marketing"" OR CMO)"</f>
        <v>site:linkedin.com/in "AMD" ("Partnerships" OR "Strategic Partnerships" OR "Brand Partnerships" OR "Strategic Alliances" OR "Business Development" OR "Sponsorship" OR "Experiential Marketing" OR "Event Marketing" OR "Corporate Communications" OR "Marketing Director" OR "Head of Marketing" OR CMO)</v>
      </c>
      <c r="I35" s="5" t="str">
        <f aca="false">"site:linkedin.com/in """ &amp; $B$35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"AMD"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5" s="5" t="str">
        <f aca="false">"""" &amp; $B$35 &amp; """ (""partnership"" OR ""partnerships"" OR sponsorship OR sponsor OR ""strategic partnership"" OR ""brand partnership"" OR ""business development"" OR alliances OR ""corporate communications"") (contact OR email OR ""contact us"" OR ""media contact"")"</f>
        <v>"AMD" ("partnership" OR "partnerships" OR sponsorship OR sponsor OR "strategic partnership" OR "brand partnership" OR "business development" OR alliances OR "corporate communications") (contact OR email OR "contact us" OR "media contact")</v>
      </c>
      <c r="K35" s="5" t="str">
        <f aca="false">"""" &amp; $B$35 &amp; """ India (""partnership"" OR ""partnerships"" OR sponsorship OR sponsor OR ""strategic partnership"" OR ""brand partnership"" OR ""business development"" OR alliances OR ""corporate communications"") (contact OR email OR ""contact us"" OR ""media contact"")"</f>
        <v>"AMD" India ("partnership" OR "partnerships" OR sponsorship OR sponsor OR "strategic partnership" OR "brand partnership" OR "business development" OR alliances OR "corporate communications") (contact OR email OR "contact us" OR "media contact")</v>
      </c>
      <c r="L35" s="5" t="s">
        <v>22</v>
      </c>
      <c r="M35" s="5" t="s">
        <v>137</v>
      </c>
      <c r="N35" s="5"/>
    </row>
    <row r="36" customFormat="false" ht="15" hidden="false" customHeight="true" outlineLevel="0" collapsed="false">
      <c r="A36" s="5" t="n">
        <v>33</v>
      </c>
      <c r="B36" s="5" t="s">
        <v>138</v>
      </c>
      <c r="C36" s="5" t="s">
        <v>129</v>
      </c>
      <c r="D36" s="5" t="s">
        <v>139</v>
      </c>
      <c r="E36" s="5" t="s">
        <v>140</v>
      </c>
      <c r="F36" s="5" t="s">
        <v>141</v>
      </c>
      <c r="G36" s="5" t="s">
        <v>21</v>
      </c>
      <c r="H36" s="5" t="str">
        <f aca="false">"site:linkedin.com/in """ &amp; $B$36 &amp; """ (""Partnerships"" OR ""Strategic Partnerships"" OR ""Brand Partnerships"" OR ""Strategic Alliances"" OR ""Business Development"" OR ""Sponsorship"" OR ""Experiential Marketing"" OR ""Event Marketing"" OR ""Corporate Communications"" OR ""Marketing Director"" OR ""Head of Marketing"" OR CMO)"</f>
        <v>site:linkedin.com/in "Intel" ("Partnerships" OR "Strategic Partnerships" OR "Brand Partnerships" OR "Strategic Alliances" OR "Business Development" OR "Sponsorship" OR "Experiential Marketing" OR "Event Marketing" OR "Corporate Communications" OR "Marketing Director" OR "Head of Marketing" OR CMO)</v>
      </c>
      <c r="I36" s="5" t="str">
        <f aca="false">"site:linkedin.com/in """ &amp; $B$36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"Intel"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6" s="5" t="str">
        <f aca="false">"""" &amp; $B$36 &amp; """ (""partnership"" OR ""partnerships"" OR sponsorship OR sponsor OR ""strategic partnership"" OR ""brand partnership"" OR ""business development"" OR alliances OR ""corporate communications"") (contact OR email OR ""contact us"" OR ""media contact"")"</f>
        <v>"Intel" ("partnership" OR "partnerships" OR sponsorship OR sponsor OR "strategic partnership" OR "brand partnership" OR "business development" OR alliances OR "corporate communications") (contact OR email OR "contact us" OR "media contact")</v>
      </c>
      <c r="K36" s="5" t="str">
        <f aca="false">"""" &amp; $B$36 &amp; """ India (""partnership"" OR ""partnerships"" OR sponsorship OR sponsor OR ""strategic partnership"" OR ""brand partnership"" OR ""business development"" OR alliances OR ""corporate communications"") (contact OR email OR ""contact us"" OR ""media contact"")"</f>
        <v>"Intel" India ("partnership" OR "partnerships" OR sponsorship OR sponsor OR "strategic partnership" OR "brand partnership" OR "business development" OR alliances OR "corporate communications") (contact OR email OR "contact us" OR "media contact")</v>
      </c>
      <c r="L36" s="5" t="s">
        <v>22</v>
      </c>
      <c r="M36" s="5" t="s">
        <v>28</v>
      </c>
      <c r="N36" s="5"/>
    </row>
    <row r="37" customFormat="false" ht="15" hidden="false" customHeight="true" outlineLevel="0" collapsed="false">
      <c r="A37" s="5" t="n">
        <v>34</v>
      </c>
      <c r="B37" s="5" t="s">
        <v>142</v>
      </c>
      <c r="C37" s="5" t="s">
        <v>129</v>
      </c>
      <c r="D37" s="5" t="s">
        <v>143</v>
      </c>
      <c r="E37" s="5" t="s">
        <v>144</v>
      </c>
      <c r="F37" s="5" t="s">
        <v>145</v>
      </c>
      <c r="G37" s="5" t="s">
        <v>21</v>
      </c>
      <c r="H37" s="5" t="str">
        <f aca="false">"site:linkedin.com/in """ &amp; $B$37 &amp; """ (""Partnerships"" OR ""Strategic Partnerships"" OR ""Brand Partnerships"" OR ""Strategic Alliances"" OR ""Business Development"" OR ""Sponsorship"" OR ""Experiential Marketing"" OR ""Event Marketing"" OR ""Corporate Communications"" OR ""Marketing Director"" OR ""Head of Marketing"" OR CMO)"</f>
        <v>site:linkedin.com/in "Qualcomm" ("Partnerships" OR "Strategic Partnerships" OR "Brand Partnerships" OR "Strategic Alliances" OR "Business Development" OR "Sponsorship" OR "Experiential Marketing" OR "Event Marketing" OR "Corporate Communications" OR "Marketing Director" OR "Head of Marketing" OR CMO)</v>
      </c>
      <c r="I37" s="5" t="str">
        <f aca="false">"site:linkedin.com/in """ &amp; $B$37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"Qualcomm"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7" s="5" t="str">
        <f aca="false">"""" &amp; $B$37 &amp; """ (""partnership"" OR ""partnerships"" OR sponsorship OR sponsor OR ""strategic partnership"" OR ""brand partnership"" OR ""business development"" OR alliances OR ""corporate communications"") (contact OR email OR ""contact us"" OR ""media contact"")"</f>
        <v>"Qualcomm" ("partnership" OR "partnerships" OR sponsorship OR sponsor OR "strategic partnership" OR "brand partnership" OR "business development" OR alliances OR "corporate communications") (contact OR email OR "contact us" OR "media contact")</v>
      </c>
      <c r="K37" s="5" t="str">
        <f aca="false">"""" &amp; $B$37 &amp; """ India (""partnership"" OR ""partnerships"" OR sponsorship OR sponsor OR ""strategic partnership"" OR ""brand partnership"" OR ""business development"" OR alliances OR ""corporate communications"") (contact OR email OR ""contact us"" OR ""media contact"")"</f>
        <v>"Qualcomm" India ("partnership" OR "partnerships" OR sponsorship OR sponsor OR "strategic partnership" OR "brand partnership" OR "business development" OR alliances OR "corporate communications") (contact OR email OR "contact us" OR "media contact")</v>
      </c>
      <c r="L37" s="5" t="s">
        <v>22</v>
      </c>
      <c r="M37" s="5" t="s">
        <v>23</v>
      </c>
      <c r="N37" s="5"/>
    </row>
    <row r="38" customFormat="false" ht="15" hidden="false" customHeight="true" outlineLevel="0" collapsed="false">
      <c r="A38" s="5" t="n">
        <v>35</v>
      </c>
      <c r="B38" s="5" t="s">
        <v>146</v>
      </c>
      <c r="C38" s="5" t="s">
        <v>129</v>
      </c>
      <c r="D38" s="5" t="s">
        <v>147</v>
      </c>
      <c r="E38" s="5" t="s">
        <v>148</v>
      </c>
      <c r="F38" s="5" t="s">
        <v>149</v>
      </c>
      <c r="G38" s="5" t="s">
        <v>21</v>
      </c>
      <c r="H38" s="5" t="str">
        <f aca="false">"site:linkedin.com/in """ &amp; $B$38 &amp; """ (""Partnerships"" OR ""Strategic Partnerships"" OR ""Brand Partnerships"" OR ""Strategic Alliances"" OR ""Business Development"" OR ""Sponsorship"" OR ""Experiential Marketing"" OR ""Event Marketing"" OR ""Corporate Communications"" OR ""Marketing Director"" OR ""Head of Marketing"" OR CMO)"</f>
        <v>site:linkedin.com/in "Sony India" ("Partnerships" OR "Strategic Partnerships" OR "Brand Partnerships" OR "Strategic Alliances" OR "Business Development" OR "Sponsorship" OR "Experiential Marketing" OR "Event Marketing" OR "Corporate Communications" OR "Marketing Director" OR "Head of Marketing" OR CMO)</v>
      </c>
      <c r="I38" s="5" t="str">
        <f aca="false">"site:linkedin.com/in """ &amp; $B$38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"Sony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8" s="5" t="str">
        <f aca="false">"""" &amp; $B$38 &amp; """ (""partnership"" OR ""partnerships"" OR sponsorship OR sponsor OR ""strategic partnership"" OR ""brand partnership"" OR ""business development"" OR alliances OR ""corporate communications"") (contact OR email OR ""contact us"" OR ""media contact"")"</f>
        <v>"Sony India" ("partnership" OR "partnerships" OR sponsorship OR sponsor OR "strategic partnership" OR "brand partnership" OR "business development" OR alliances OR "corporate communications") (contact OR email OR "contact us" OR "media contact")</v>
      </c>
      <c r="K38" s="5" t="str">
        <f aca="false">"""" &amp; $B$38 &amp; """ India (""partnership"" OR ""partnerships"" OR sponsorship OR sponsor OR ""strategic partnership"" OR ""brand partnership"" OR ""business development"" OR alliances OR ""corporate communications"") (contact OR email OR ""contact us"" OR ""media contact"")"</f>
        <v>"Sony India" India ("partnership" OR "partnerships" OR sponsorship OR sponsor OR "strategic partnership" OR "brand partnership" OR "business development" OR alliances OR "corporate communications") (contact OR email OR "contact us" OR "media contact")</v>
      </c>
      <c r="L38" s="5" t="s">
        <v>22</v>
      </c>
      <c r="M38" s="5" t="s">
        <v>23</v>
      </c>
      <c r="N38" s="5"/>
    </row>
    <row r="39" customFormat="false" ht="15" hidden="false" customHeight="true" outlineLevel="0" collapsed="false">
      <c r="A39" s="5" t="n">
        <v>36</v>
      </c>
      <c r="B39" s="5" t="s">
        <v>150</v>
      </c>
      <c r="C39" s="5" t="s">
        <v>129</v>
      </c>
      <c r="D39" s="5" t="s">
        <v>147</v>
      </c>
      <c r="E39" s="5" t="s">
        <v>151</v>
      </c>
      <c r="F39" s="5" t="s">
        <v>152</v>
      </c>
      <c r="G39" s="5" t="s">
        <v>21</v>
      </c>
      <c r="H39" s="5" t="str">
        <f aca="false">"site:linkedin.com/in """ &amp; $B$39 &amp; """ (""Partnerships"" OR ""Strategic Partnerships"" OR ""Brand Partnerships"" OR ""Strategic Alliances"" OR ""Business Development"" OR ""Sponsorship"" OR ""Experiential Marketing"" OR ""Event Marketing"" OR ""Corporate Communications"" OR ""Marketing Director"" OR ""Head of Marketing"" OR CMO)"</f>
        <v>site:linkedin.com/in "Canon India" ("Partnerships" OR "Strategic Partnerships" OR "Brand Partnerships" OR "Strategic Alliances" OR "Business Development" OR "Sponsorship" OR "Experiential Marketing" OR "Event Marketing" OR "Corporate Communications" OR "Marketing Director" OR "Head of Marketing" OR CMO)</v>
      </c>
      <c r="I39" s="5" t="str">
        <f aca="false">"site:linkedin.com/in """ &amp; $B$39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"Canon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39" s="5" t="str">
        <f aca="false">"""" &amp; $B$39 &amp; """ (""partnership"" OR ""partnerships"" OR sponsorship OR sponsor OR ""strategic partnership"" OR ""brand partnership"" OR ""business development"" OR alliances OR ""corporate communications"") (contact OR email OR ""contact us"" OR ""media contact"")"</f>
        <v>"Canon India" ("partnership" OR "partnerships" OR sponsorship OR sponsor OR "strategic partnership" OR "brand partnership" OR "business development" OR alliances OR "corporate communications") (contact OR email OR "contact us" OR "media contact")</v>
      </c>
      <c r="K39" s="5" t="str">
        <f aca="false">"""" &amp; $B$39 &amp; """ India (""partnership"" OR ""partnerships"" OR sponsorship OR sponsor OR ""strategic partnership"" OR ""brand partnership"" OR ""business development"" OR alliances OR ""corporate communications"") (contact OR email OR ""contact us"" OR ""media contact"")"</f>
        <v>"Canon India" India ("partnership" OR "partnerships" OR sponsorship OR sponsor OR "strategic partnership" OR "brand partnership" OR "business development" OR alliances OR "corporate communications") (contact OR email OR "contact us" OR "media contact")</v>
      </c>
      <c r="L39" s="5" t="s">
        <v>22</v>
      </c>
      <c r="M39" s="5" t="s">
        <v>28</v>
      </c>
      <c r="N39" s="5"/>
    </row>
    <row r="40" customFormat="false" ht="15" hidden="false" customHeight="true" outlineLevel="0" collapsed="false">
      <c r="A40" s="5" t="n">
        <v>37</v>
      </c>
      <c r="B40" s="5" t="s">
        <v>153</v>
      </c>
      <c r="C40" s="5" t="s">
        <v>129</v>
      </c>
      <c r="D40" s="5" t="s">
        <v>154</v>
      </c>
      <c r="E40" s="5" t="s">
        <v>155</v>
      </c>
      <c r="F40" s="5" t="s">
        <v>156</v>
      </c>
      <c r="G40" s="5" t="s">
        <v>21</v>
      </c>
      <c r="H40" s="5" t="str">
        <f aca="false">"site:linkedin.com/in """ &amp; $B$40 &amp; """ (""Partnerships"" OR ""Strategic Partnerships"" OR ""Brand Partnerships"" OR ""Strategic Alliances"" OR ""Business Development"" OR ""Sponsorship"" OR ""Experiential Marketing"" OR ""Event Marketing"" OR ""Corporate Communications"" OR ""Marketing Director"" OR ""Head of Marketing"" OR CMO)"</f>
        <v>site:linkedin.com/in "Nikon India / RED Digital Cinema" ("Partnerships" OR "Strategic Partnerships" OR "Brand Partnerships" OR "Strategic Alliances" OR "Business Development" OR "Sponsorship" OR "Experiential Marketing" OR "Event Marketing" OR "Corporate Communications" OR "Marketing Director" OR "Head of Marketing" OR CMO)</v>
      </c>
      <c r="I40" s="5" t="str">
        <f aca="false">"site:linkedin.com/in """ &amp; $B$40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"Nikon India / RED Digital Cinema"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0" s="5" t="str">
        <f aca="false">"""" &amp; $B$40 &amp; """ (""partnership"" OR ""partnerships"" OR sponsorship OR sponsor OR ""strategic partnership"" OR ""brand partnership"" OR ""business development"" OR alliances OR ""corporate communications"") (contact OR email OR ""contact us"" OR ""media contact"")"</f>
        <v>"Nikon India / RED Digital Cinema" ("partnership" OR "partnerships" OR sponsorship OR sponsor OR "strategic partnership" OR "brand partnership" OR "business development" OR alliances OR "corporate communications") (contact OR email OR "contact us" OR "media contact")</v>
      </c>
      <c r="K40" s="5" t="str">
        <f aca="false">"""" &amp; $B$40 &amp; """ India (""partnership"" OR ""partnerships"" OR sponsorship OR sponsor OR ""strategic partnership"" OR ""brand partnership"" OR ""business development"" OR alliances OR ""corporate communications"") (contact OR email OR ""contact us"" OR ""media contact"")"</f>
        <v>"Nikon India / RED Digital Cinema" India ("partnership" OR "partnerships" OR sponsorship OR sponsor OR "strategic partnership" OR "brand partnership" OR "business development" OR alliances OR "corporate communications") (contact OR email OR "contact us" OR "media contact")</v>
      </c>
      <c r="L40" s="5" t="s">
        <v>22</v>
      </c>
      <c r="M40" s="5" t="s">
        <v>23</v>
      </c>
      <c r="N40" s="5"/>
    </row>
    <row r="41" customFormat="false" ht="15" hidden="false" customHeight="true" outlineLevel="0" collapsed="false">
      <c r="A41" s="5" t="n">
        <v>38</v>
      </c>
      <c r="B41" s="5" t="s">
        <v>157</v>
      </c>
      <c r="C41" s="5" t="s">
        <v>129</v>
      </c>
      <c r="D41" s="5" t="s">
        <v>147</v>
      </c>
      <c r="E41" s="5" t="s">
        <v>158</v>
      </c>
      <c r="F41" s="5" t="s">
        <v>159</v>
      </c>
      <c r="G41" s="5" t="s">
        <v>21</v>
      </c>
      <c r="H41" s="5" t="str">
        <f aca="false">"site:linkedin.com/in """ &amp; $B$41 &amp; """ (""Partnerships"" OR ""Strategic Partnerships"" OR ""Brand Partnerships"" OR ""Strategic Alliances"" OR ""Business Development"" OR ""Sponsorship"" OR ""Experiential Marketing"" OR ""Event Marketing"" OR ""Corporate Communications"" OR ""Marketing Director"" OR ""Head of Marketing"" OR CMO)"</f>
        <v>site:linkedin.com/in "Fujifilm India" ("Partnerships" OR "Strategic Partnerships" OR "Brand Partnerships" OR "Strategic Alliances" OR "Business Development" OR "Sponsorship" OR "Experiential Marketing" OR "Event Marketing" OR "Corporate Communications" OR "Marketing Director" OR "Head of Marketing" OR CMO)</v>
      </c>
      <c r="I41" s="5" t="str">
        <f aca="false">"site:linkedin.com/in """ &amp; $B$41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"Fujifilm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1" s="5" t="str">
        <f aca="false">"""" &amp; $B$41 &amp; """ (""partnership"" OR ""partnerships"" OR sponsorship OR sponsor OR ""strategic partnership"" OR ""brand partnership"" OR ""business development"" OR alliances OR ""corporate communications"") (contact OR email OR ""contact us"" OR ""media contact"")"</f>
        <v>"Fujifilm India" ("partnership" OR "partnerships" OR sponsorship OR sponsor OR "strategic partnership" OR "brand partnership" OR "business development" OR alliances OR "corporate communications") (contact OR email OR "contact us" OR "media contact")</v>
      </c>
      <c r="K41" s="5" t="str">
        <f aca="false">"""" &amp; $B$41 &amp; """ India (""partnership"" OR ""partnerships"" OR sponsorship OR sponsor OR ""strategic partnership"" OR ""brand partnership"" OR ""business development"" OR alliances OR ""corporate communications"") (contact OR email OR ""contact us"" OR ""media contact"")"</f>
        <v>"Fujifilm India" India ("partnership" OR "partnerships" OR sponsorship OR sponsor OR "strategic partnership" OR "brand partnership" OR "business development" OR alliances OR "corporate communications") (contact OR email OR "contact us" OR "media contact")</v>
      </c>
      <c r="L41" s="5" t="s">
        <v>22</v>
      </c>
      <c r="M41" s="5" t="s">
        <v>28</v>
      </c>
      <c r="N41" s="5"/>
    </row>
    <row r="42" customFormat="false" ht="15" hidden="false" customHeight="true" outlineLevel="0" collapsed="false">
      <c r="A42" s="5" t="n">
        <v>39</v>
      </c>
      <c r="B42" s="5" t="s">
        <v>160</v>
      </c>
      <c r="C42" s="5" t="s">
        <v>129</v>
      </c>
      <c r="D42" s="5" t="s">
        <v>161</v>
      </c>
      <c r="E42" s="5" t="s">
        <v>162</v>
      </c>
      <c r="F42" s="5" t="s">
        <v>163</v>
      </c>
      <c r="G42" s="5" t="s">
        <v>21</v>
      </c>
      <c r="H42" s="5" t="str">
        <f aca="false">"site:linkedin.com/in """ &amp; $B$42 &amp; """ (""Partnerships"" OR ""Strategic Partnerships"" OR ""Brand Partnerships"" OR ""Strategic Alliances"" OR ""Business Development"" OR ""Sponsorship"" OR ""Experiential Marketing"" OR ""Event Marketing"" OR ""Corporate Communications"" OR ""Marketing Director"" OR ""Head of Marketing"" OR CMO)"</f>
        <v>site:linkedin.com/in "Panasonic (Lumix) India" ("Partnerships" OR "Strategic Partnerships" OR "Brand Partnerships" OR "Strategic Alliances" OR "Business Development" OR "Sponsorship" OR "Experiential Marketing" OR "Event Marketing" OR "Corporate Communications" OR "Marketing Director" OR "Head of Marketing" OR CMO)</v>
      </c>
      <c r="I42" s="5" t="str">
        <f aca="false">"site:linkedin.com/in """ &amp; $B$42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"Panasonic (Lumix)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2" s="5" t="str">
        <f aca="false">"""" &amp; $B$42 &amp; """ (""partnership"" OR ""partnerships"" OR sponsorship OR sponsor OR ""strategic partnership"" OR ""brand partnership"" OR ""business development"" OR alliances OR ""corporate communications"") (contact OR email OR ""contact us"" OR ""media contact"")"</f>
        <v>"Panasonic (Lumix) India" ("partnership" OR "partnerships" OR sponsorship OR sponsor OR "strategic partnership" OR "brand partnership" OR "business development" OR alliances OR "corporate communications") (contact OR email OR "contact us" OR "media contact")</v>
      </c>
      <c r="K42" s="5" t="str">
        <f aca="false">"""" &amp; $B$42 &amp; """ India (""partnership"" OR ""partnerships"" OR sponsorship OR sponsor OR ""strategic partnership"" OR ""brand partnership"" OR ""business development"" OR alliances OR ""corporate communications"") (contact OR email OR ""contact us"" OR ""media contact"")"</f>
        <v>"Panasonic (Lumix) India" India ("partnership" OR "partnerships" OR sponsorship OR sponsor OR "strategic partnership" OR "brand partnership" OR "business development" OR alliances OR "corporate communications") (contact OR email OR "contact us" OR "media contact")</v>
      </c>
      <c r="L42" s="5" t="s">
        <v>22</v>
      </c>
      <c r="M42" s="5" t="s">
        <v>23</v>
      </c>
      <c r="N42" s="5"/>
    </row>
    <row r="43" customFormat="false" ht="15" hidden="false" customHeight="true" outlineLevel="0" collapsed="false">
      <c r="A43" s="6" t="n">
        <v>40</v>
      </c>
      <c r="B43" s="6" t="s">
        <v>164</v>
      </c>
      <c r="C43" s="6" t="s">
        <v>129</v>
      </c>
      <c r="D43" s="6" t="s">
        <v>165</v>
      </c>
      <c r="E43" s="6" t="s">
        <v>166</v>
      </c>
      <c r="F43" s="6" t="s">
        <v>167</v>
      </c>
      <c r="G43" s="6" t="s">
        <v>168</v>
      </c>
      <c r="H43" s="6" t="str">
        <f aca="false">"site:linkedin.com/in """ &amp; $B$43 &amp; """ (""Partnerships"" OR ""Strategic Partnerships"" OR ""Brand Partnerships"" OR ""Strategic Alliances"" OR ""Business Development"" OR ""Sponsorship"" OR ""Experiential Marketing"" OR ""Event Marketing"" OR ""Corporate Communications"" OR ""Marketing Director"" OR ""Head of Marketing"" OR CMO)"</f>
        <v>site:linkedin.com/in "Sennheiser India" ("Partnerships" OR "Strategic Partnerships" OR "Brand Partnerships" OR "Strategic Alliances" OR "Business Development" OR "Sponsorship" OR "Experiential Marketing" OR "Event Marketing" OR "Corporate Communications" OR "Marketing Director" OR "Head of Marketing" OR CMO)</v>
      </c>
      <c r="I43" s="6" t="str">
        <f aca="false">"site:linkedin.com/in """ &amp; $B$43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"Sennheiser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3" s="6" t="str">
        <f aca="false">"""" &amp; $B$43 &amp; """ (""partnership"" OR ""partnerships"" OR sponsorship OR sponsor OR ""strategic partnership"" OR ""brand partnership"" OR ""business development"" OR alliances OR ""corporate communications"") (contact OR email OR ""contact us"" OR ""media contact"")"</f>
        <v>"Sennheiser India" ("partnership" OR "partnerships" OR sponsorship OR sponsor OR "strategic partnership" OR "brand partnership" OR "business development" OR alliances OR "corporate communications") (contact OR email OR "contact us" OR "media contact")</v>
      </c>
      <c r="K43" s="6" t="str">
        <f aca="false">"""" &amp; $B$43 &amp; """ India (""partnership"" OR ""partnerships"" OR sponsorship OR sponsor OR ""strategic partnership"" OR ""brand partnership"" OR ""business development"" OR alliances OR ""corporate communications"") (contact OR email OR ""contact us"" OR ""media contact"")"</f>
        <v>"Sennheiser India" India ("partnership" OR "partnerships" OR sponsorship OR sponsor OR "strategic partnership" OR "brand partnership" OR "business development" OR alliances OR "corporate communications") (contact OR email OR "contact us" OR "media contact")</v>
      </c>
      <c r="L43" s="6" t="s">
        <v>169</v>
      </c>
      <c r="M43" s="6" t="s">
        <v>170</v>
      </c>
      <c r="N43" s="6" t="s">
        <v>171</v>
      </c>
    </row>
    <row r="44" customFormat="false" ht="15" hidden="false" customHeight="true" outlineLevel="0" collapsed="false">
      <c r="A44" s="5" t="n">
        <v>41</v>
      </c>
      <c r="B44" s="5" t="s">
        <v>172</v>
      </c>
      <c r="C44" s="5" t="s">
        <v>129</v>
      </c>
      <c r="D44" s="5" t="s">
        <v>173</v>
      </c>
      <c r="E44" s="5" t="s">
        <v>174</v>
      </c>
      <c r="F44" s="5" t="s">
        <v>175</v>
      </c>
      <c r="G44" s="5" t="s">
        <v>21</v>
      </c>
      <c r="H44" s="5" t="str">
        <f aca="false">"site:linkedin.com/in """ &amp; $B$44 &amp; """ (""Partnerships"" OR ""Strategic Partnerships"" OR ""Brand Partnerships"" OR ""Strategic Alliances"" OR ""Business Development"" OR ""Sponsorship"" OR ""Experiential Marketing"" OR ""Event Marketing"" OR ""Corporate Communications"" OR ""Marketing Director"" OR ""Head of Marketing"" OR CMO)"</f>
        <v>site:linkedin.com/in "Harman International (JBL)" ("Partnerships" OR "Strategic Partnerships" OR "Brand Partnerships" OR "Strategic Alliances" OR "Business Development" OR "Sponsorship" OR "Experiential Marketing" OR "Event Marketing" OR "Corporate Communications" OR "Marketing Director" OR "Head of Marketing" OR CMO)</v>
      </c>
      <c r="I44" s="5" t="str">
        <f aca="false">"site:linkedin.com/in """ &amp; $B$44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"Harman International (JBL)"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4" s="5" t="str">
        <f aca="false">"""" &amp; $B$44 &amp; """ (""partnership"" OR ""partnerships"" OR sponsorship OR sponsor OR ""strategic partnership"" OR ""brand partnership"" OR ""business development"" OR alliances OR ""corporate communications"") (contact OR email OR ""contact us"" OR ""media contact"")"</f>
        <v>"Harman International (JBL)" ("partnership" OR "partnerships" OR sponsorship OR sponsor OR "strategic partnership" OR "brand partnership" OR "business development" OR alliances OR "corporate communications") (contact OR email OR "contact us" OR "media contact")</v>
      </c>
      <c r="K44" s="5" t="str">
        <f aca="false">"""" &amp; $B$44 &amp; """ India (""partnership"" OR ""partnerships"" OR sponsorship OR sponsor OR ""strategic partnership"" OR ""brand partnership"" OR ""business development"" OR alliances OR ""corporate communications"") (contact OR email OR ""contact us"" OR ""media contact"")"</f>
        <v>"Harman International (JBL)" India ("partnership" OR "partnerships" OR sponsorship OR sponsor OR "strategic partnership" OR "brand partnership" OR "business development" OR alliances OR "corporate communications") (contact OR email OR "contact us" OR "media contact")</v>
      </c>
      <c r="L44" s="5" t="s">
        <v>22</v>
      </c>
      <c r="M44" s="5" t="s">
        <v>23</v>
      </c>
      <c r="N44" s="5"/>
    </row>
    <row r="45" customFormat="false" ht="15" hidden="false" customHeight="true" outlineLevel="0" collapsed="false">
      <c r="A45" s="5" t="n">
        <v>42</v>
      </c>
      <c r="B45" s="5" t="s">
        <v>176</v>
      </c>
      <c r="C45" s="5" t="s">
        <v>129</v>
      </c>
      <c r="D45" s="5" t="s">
        <v>177</v>
      </c>
      <c r="E45" s="5" t="s">
        <v>178</v>
      </c>
      <c r="F45" s="5" t="s">
        <v>179</v>
      </c>
      <c r="G45" s="5" t="s">
        <v>21</v>
      </c>
      <c r="H45" s="5" t="str">
        <f aca="false">"site:linkedin.com/in """ &amp; $B$45 &amp; """ (""Partnerships"" OR ""Strategic Partnerships"" OR ""Brand Partnerships"" OR ""Strategic Alliances"" OR ""Business Development"" OR ""Sponsorship"" OR ""Experiential Marketing"" OR ""Event Marketing"" OR ""Corporate Communications"" OR ""Marketing Director"" OR ""Head of Marketing"" OR CMO)"</f>
        <v>site:linkedin.com/in "boAt" ("Partnerships" OR "Strategic Partnerships" OR "Brand Partnerships" OR "Strategic Alliances" OR "Business Development" OR "Sponsorship" OR "Experiential Marketing" OR "Event Marketing" OR "Corporate Communications" OR "Marketing Director" OR "Head of Marketing" OR CMO)</v>
      </c>
      <c r="I45" s="5" t="str">
        <f aca="false">"site:linkedin.com/in """ &amp; $B$45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"boAt"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5" s="5" t="str">
        <f aca="false">"""" &amp; $B$45 &amp; """ (""partnership"" OR ""partnerships"" OR sponsorship OR sponsor OR ""strategic partnership"" OR ""brand partnership"" OR ""business development"" OR alliances OR ""corporate communications"") (contact OR email OR ""contact us"" OR ""media contact"")"</f>
        <v>"boAt" ("partnership" OR "partnerships" OR sponsorship OR sponsor OR "strategic partnership" OR "brand partnership" OR "business development" OR alliances OR "corporate communications") (contact OR email OR "contact us" OR "media contact")</v>
      </c>
      <c r="K45" s="5" t="str">
        <f aca="false">"""" &amp; $B$45 &amp; """ India (""partnership"" OR ""partnerships"" OR sponsorship OR sponsor OR ""strategic partnership"" OR ""brand partnership"" OR ""business development"" OR alliances OR ""corporate communications"") (contact OR email OR ""contact us"" OR ""media contact"")"</f>
        <v>"boAt" India ("partnership" OR "partnerships" OR sponsorship OR sponsor OR "strategic partnership" OR "brand partnership" OR "business development" OR alliances OR "corporate communications") (contact OR email OR "contact us" OR "media contact")</v>
      </c>
      <c r="L45" s="5" t="s">
        <v>22</v>
      </c>
      <c r="M45" s="5" t="s">
        <v>28</v>
      </c>
      <c r="N45" s="5"/>
    </row>
    <row r="46" customFormat="false" ht="15" hidden="false" customHeight="true" outlineLevel="0" collapsed="false">
      <c r="A46" s="5" t="n">
        <v>43</v>
      </c>
      <c r="B46" s="5" t="s">
        <v>180</v>
      </c>
      <c r="C46" s="5" t="s">
        <v>129</v>
      </c>
      <c r="D46" s="5" t="s">
        <v>181</v>
      </c>
      <c r="E46" s="5" t="s">
        <v>182</v>
      </c>
      <c r="F46" s="5" t="s">
        <v>183</v>
      </c>
      <c r="G46" s="5" t="s">
        <v>21</v>
      </c>
      <c r="H46" s="5" t="str">
        <f aca="false">"site:linkedin.com/in """ &amp; $B$46 &amp; """ (""Partnerships"" OR ""Strategic Partnerships"" OR ""Brand Partnerships"" OR ""Strategic Alliances"" OR ""Business Development"" OR ""Sponsorship"" OR ""Experiential Marketing"" OR ""Event Marketing"" OR ""Corporate Communications"" OR ""Marketing Director"" OR ""Head of Marketing"" OR CMO)"</f>
        <v>site:linkedin.com/in "Zebronics" ("Partnerships" OR "Strategic Partnerships" OR "Brand Partnerships" OR "Strategic Alliances" OR "Business Development" OR "Sponsorship" OR "Experiential Marketing" OR "Event Marketing" OR "Corporate Communications" OR "Marketing Director" OR "Head of Marketing" OR CMO)</v>
      </c>
      <c r="I46" s="5" t="str">
        <f aca="false">"site:linkedin.com/in """ &amp; $B$46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"Zebronics"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6" s="5" t="str">
        <f aca="false">"""" &amp; $B$46 &amp; """ (""partnership"" OR ""partnerships"" OR sponsorship OR sponsor OR ""strategic partnership"" OR ""brand partnership"" OR ""business development"" OR alliances OR ""corporate communications"") (contact OR email OR ""contact us"" OR ""media contact"")"</f>
        <v>"Zebronics" ("partnership" OR "partnerships" OR sponsorship OR sponsor OR "strategic partnership" OR "brand partnership" OR "business development" OR alliances OR "corporate communications") (contact OR email OR "contact us" OR "media contact")</v>
      </c>
      <c r="K46" s="5" t="str">
        <f aca="false">"""" &amp; $B$46 &amp; """ India (""partnership"" OR ""partnerships"" OR sponsorship OR sponsor OR ""strategic partnership"" OR ""brand partnership"" OR ""business development"" OR alliances OR ""corporate communications"") (contact OR email OR ""contact us"" OR ""media contact"")"</f>
        <v>"Zebronics" India ("partnership" OR "partnerships" OR sponsorship OR sponsor OR "strategic partnership" OR "brand partnership" OR "business development" OR alliances OR "corporate communications") (contact OR email OR "contact us" OR "media contact")</v>
      </c>
      <c r="L46" s="5" t="s">
        <v>22</v>
      </c>
      <c r="M46" s="5" t="s">
        <v>23</v>
      </c>
      <c r="N46" s="5"/>
    </row>
    <row r="47" customFormat="false" ht="15" hidden="false" customHeight="true" outlineLevel="0" collapsed="false">
      <c r="A47" s="5" t="n">
        <v>44</v>
      </c>
      <c r="B47" s="5" t="s">
        <v>184</v>
      </c>
      <c r="C47" s="5" t="s">
        <v>129</v>
      </c>
      <c r="D47" s="5" t="s">
        <v>177</v>
      </c>
      <c r="E47" s="5" t="s">
        <v>185</v>
      </c>
      <c r="F47" s="5" t="s">
        <v>186</v>
      </c>
      <c r="G47" s="5" t="s">
        <v>21</v>
      </c>
      <c r="H47" s="5" t="str">
        <f aca="false">"site:linkedin.com/in """ &amp; $B$47 &amp; """ (""Partnerships"" OR ""Strategic Partnerships"" OR ""Brand Partnerships"" OR ""Strategic Alliances"" OR ""Business Development"" OR ""Sponsorship"" OR ""Experiential Marketing"" OR ""Event Marketing"" OR ""Corporate Communications"" OR ""Marketing Director"" OR ""Head of Marketing"" OR CMO)"</f>
        <v>site:linkedin.com/in "Noise" ("Partnerships" OR "Strategic Partnerships" OR "Brand Partnerships" OR "Strategic Alliances" OR "Business Development" OR "Sponsorship" OR "Experiential Marketing" OR "Event Marketing" OR "Corporate Communications" OR "Marketing Director" OR "Head of Marketing" OR CMO)</v>
      </c>
      <c r="I47" s="5" t="str">
        <f aca="false">"site:linkedin.com/in """ &amp; $B$47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"Noise"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7" s="5" t="str">
        <f aca="false">"""" &amp; $B$47 &amp; """ (""partnership"" OR ""partnerships"" OR sponsorship OR sponsor OR ""strategic partnership"" OR ""brand partnership"" OR ""business development"" OR alliances OR ""corporate communications"") (contact OR email OR ""contact us"" OR ""media contact"")"</f>
        <v>"Noise" ("partnership" OR "partnerships" OR sponsorship OR sponsor OR "strategic partnership" OR "brand partnership" OR "business development" OR alliances OR "corporate communications") (contact OR email OR "contact us" OR "media contact")</v>
      </c>
      <c r="K47" s="5" t="str">
        <f aca="false">"""" &amp; $B$47 &amp; """ India (""partnership"" OR ""partnerships"" OR sponsorship OR sponsor OR ""strategic partnership"" OR ""brand partnership"" OR ""business development"" OR alliances OR ""corporate communications"") (contact OR email OR ""contact us"" OR ""media contact"")"</f>
        <v>"Noise" India ("partnership" OR "partnerships" OR sponsorship OR sponsor OR "strategic partnership" OR "brand partnership" OR "business development" OR alliances OR "corporate communications") (contact OR email OR "contact us" OR "media contact")</v>
      </c>
      <c r="L47" s="5" t="s">
        <v>22</v>
      </c>
      <c r="M47" s="5" t="s">
        <v>187</v>
      </c>
      <c r="N47" s="5"/>
    </row>
    <row r="48" customFormat="false" ht="15" hidden="false" customHeight="true" outlineLevel="0" collapsed="false">
      <c r="A48" s="5" t="n">
        <v>45</v>
      </c>
      <c r="B48" s="5" t="s">
        <v>188</v>
      </c>
      <c r="C48" s="5" t="s">
        <v>129</v>
      </c>
      <c r="D48" s="5" t="s">
        <v>189</v>
      </c>
      <c r="E48" s="5" t="s">
        <v>190</v>
      </c>
      <c r="F48" s="5" t="s">
        <v>191</v>
      </c>
      <c r="G48" s="5" t="s">
        <v>21</v>
      </c>
      <c r="H48" s="5" t="str">
        <f aca="false">"site:linkedin.com/in """ &amp; $B$48 &amp; """ (""Partnerships"" OR ""Strategic Partnerships"" OR ""Brand Partnerships"" OR ""Strategic Alliances"" OR ""Business Development"" OR ""Sponsorship"" OR ""Experiential Marketing"" OR ""Event Marketing"" OR ""Corporate Communications"" OR ""Marketing Director"" OR ""Head of Marketing"" OR CMO)"</f>
        <v>site:linkedin.com/in "Dell Technologies India" ("Partnerships" OR "Strategic Partnerships" OR "Brand Partnerships" OR "Strategic Alliances" OR "Business Development" OR "Sponsorship" OR "Experiential Marketing" OR "Event Marketing" OR "Corporate Communications" OR "Marketing Director" OR "Head of Marketing" OR CMO)</v>
      </c>
      <c r="I48" s="5" t="str">
        <f aca="false">"site:linkedin.com/in """ &amp; $B$48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"Dell Technologies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8" s="5" t="str">
        <f aca="false">"""" &amp; $B$48 &amp; """ (""partnership"" OR ""partnerships"" OR sponsorship OR sponsor OR ""strategic partnership"" OR ""brand partnership"" OR ""business development"" OR alliances OR ""corporate communications"") (contact OR email OR ""contact us"" OR ""media contact"")"</f>
        <v>"Dell Technologies India" ("partnership" OR "partnerships" OR sponsorship OR sponsor OR "strategic partnership" OR "brand partnership" OR "business development" OR alliances OR "corporate communications") (contact OR email OR "contact us" OR "media contact")</v>
      </c>
      <c r="K48" s="5" t="str">
        <f aca="false">"""" &amp; $B$48 &amp; """ India (""partnership"" OR ""partnerships"" OR sponsorship OR sponsor OR ""strategic partnership"" OR ""brand partnership"" OR ""business development"" OR alliances OR ""corporate communications"") (contact OR email OR ""contact us"" OR ""media contact"")"</f>
        <v>"Dell Technologies India" India ("partnership" OR "partnerships" OR sponsorship OR sponsor OR "strategic partnership" OR "brand partnership" OR "business development" OR alliances OR "corporate communications") (contact OR email OR "contact us" OR "media contact")</v>
      </c>
      <c r="L48" s="5" t="s">
        <v>22</v>
      </c>
      <c r="M48" s="5" t="s">
        <v>23</v>
      </c>
      <c r="N48" s="5"/>
    </row>
    <row r="49" customFormat="false" ht="15" hidden="false" customHeight="true" outlineLevel="0" collapsed="false">
      <c r="A49" s="5" t="n">
        <v>46</v>
      </c>
      <c r="B49" s="5" t="s">
        <v>192</v>
      </c>
      <c r="C49" s="5" t="s">
        <v>129</v>
      </c>
      <c r="D49" s="5" t="s">
        <v>193</v>
      </c>
      <c r="E49" s="5" t="s">
        <v>194</v>
      </c>
      <c r="F49" s="5" t="s">
        <v>195</v>
      </c>
      <c r="G49" s="5" t="s">
        <v>21</v>
      </c>
      <c r="H49" s="5" t="str">
        <f aca="false">"site:linkedin.com/in """ &amp; $B$49 &amp; """ (""Partnerships"" OR ""Strategic Partnerships"" OR ""Brand Partnerships"" OR ""Strategic Alliances"" OR ""Business Development"" OR ""Sponsorship"" OR ""Experiential Marketing"" OR ""Event Marketing"" OR ""Corporate Communications"" OR ""Marketing Director"" OR ""Head of Marketing"" OR CMO)"</f>
        <v>site:linkedin.com/in "ASUS India" ("Partnerships" OR "Strategic Partnerships" OR "Brand Partnerships" OR "Strategic Alliances" OR "Business Development" OR "Sponsorship" OR "Experiential Marketing" OR "Event Marketing" OR "Corporate Communications" OR "Marketing Director" OR "Head of Marketing" OR CMO)</v>
      </c>
      <c r="I49" s="5" t="str">
        <f aca="false">"site:linkedin.com/in """ &amp; $B$49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"ASUS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49" s="5" t="str">
        <f aca="false">"""" &amp; $B$49 &amp; """ (""partnership"" OR ""partnerships"" OR sponsorship OR sponsor OR ""strategic partnership"" OR ""brand partnership"" OR ""business development"" OR alliances OR ""corporate communications"") (contact OR email OR ""contact us"" OR ""media contact"")"</f>
        <v>"ASUS India" ("partnership" OR "partnerships" OR sponsorship OR sponsor OR "strategic partnership" OR "brand partnership" OR "business development" OR alliances OR "corporate communications") (contact OR email OR "contact us" OR "media contact")</v>
      </c>
      <c r="K49" s="5" t="str">
        <f aca="false">"""" &amp; $B$49 &amp; """ India (""partnership"" OR ""partnerships"" OR sponsorship OR sponsor OR ""strategic partnership"" OR ""brand partnership"" OR ""business development"" OR alliances OR ""corporate communications"") (contact OR email OR ""contact us"" OR ""media contact"")"</f>
        <v>"ASUS India" India ("partnership" OR "partnerships" OR sponsorship OR sponsor OR "strategic partnership" OR "brand partnership" OR "business development" OR alliances OR "corporate communications") (contact OR email OR "contact us" OR "media contact")</v>
      </c>
      <c r="L49" s="5" t="s">
        <v>22</v>
      </c>
      <c r="M49" s="5" t="s">
        <v>23</v>
      </c>
      <c r="N49" s="5"/>
    </row>
    <row r="50" customFormat="false" ht="15" hidden="false" customHeight="true" outlineLevel="0" collapsed="false">
      <c r="A50" s="5" t="n">
        <v>47</v>
      </c>
      <c r="B50" s="5" t="s">
        <v>196</v>
      </c>
      <c r="C50" s="5" t="s">
        <v>129</v>
      </c>
      <c r="D50" s="5" t="s">
        <v>197</v>
      </c>
      <c r="E50" s="5" t="s">
        <v>198</v>
      </c>
      <c r="F50" s="5" t="s">
        <v>199</v>
      </c>
      <c r="G50" s="5" t="s">
        <v>21</v>
      </c>
      <c r="H50" s="5" t="str">
        <f aca="false">"site:linkedin.com/in """ &amp; $B$50 &amp; """ (""Partnerships"" OR ""Strategic Partnerships"" OR ""Brand Partnerships"" OR ""Strategic Alliances"" OR ""Business Development"" OR ""Sponsorship"" OR ""Experiential Marketing"" OR ""Event Marketing"" OR ""Corporate Communications"" OR ""Marketing Director"" OR ""Head of Marketing"" OR CMO)"</f>
        <v>site:linkedin.com/in "Lenovo India" ("Partnerships" OR "Strategic Partnerships" OR "Brand Partnerships" OR "Strategic Alliances" OR "Business Development" OR "Sponsorship" OR "Experiential Marketing" OR "Event Marketing" OR "Corporate Communications" OR "Marketing Director" OR "Head of Marketing" OR CMO)</v>
      </c>
      <c r="I50" s="5" t="str">
        <f aca="false">"site:linkedin.com/in """ &amp; $B$50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"Lenovo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0" s="5" t="str">
        <f aca="false">"""" &amp; $B$50 &amp; """ (""partnership"" OR ""partnerships"" OR sponsorship OR sponsor OR ""strategic partnership"" OR ""brand partnership"" OR ""business development"" OR alliances OR ""corporate communications"") (contact OR email OR ""contact us"" OR ""media contact"")"</f>
        <v>"Lenovo India" ("partnership" OR "partnerships" OR sponsorship OR sponsor OR "strategic partnership" OR "brand partnership" OR "business development" OR alliances OR "corporate communications") (contact OR email OR "contact us" OR "media contact")</v>
      </c>
      <c r="K50" s="5" t="str">
        <f aca="false">"""" &amp; $B$50 &amp; """ India (""partnership"" OR ""partnerships"" OR sponsorship OR sponsor OR ""strategic partnership"" OR ""brand partnership"" OR ""business development"" OR alliances OR ""corporate communications"") (contact OR email OR ""contact us"" OR ""media contact"")"</f>
        <v>"Lenovo India" India ("partnership" OR "partnerships" OR sponsorship OR sponsor OR "strategic partnership" OR "brand partnership" OR "business development" OR alliances OR "corporate communications") (contact OR email OR "contact us" OR "media contact")</v>
      </c>
      <c r="L50" s="5" t="s">
        <v>22</v>
      </c>
      <c r="M50" s="5" t="s">
        <v>23</v>
      </c>
      <c r="N50" s="5"/>
    </row>
    <row r="51" customFormat="false" ht="15" hidden="false" customHeight="true" outlineLevel="0" collapsed="false">
      <c r="A51" s="5" t="n">
        <v>48</v>
      </c>
      <c r="B51" s="5" t="s">
        <v>200</v>
      </c>
      <c r="C51" s="5" t="s">
        <v>129</v>
      </c>
      <c r="D51" s="5" t="s">
        <v>201</v>
      </c>
      <c r="E51" s="5" t="s">
        <v>202</v>
      </c>
      <c r="F51" s="5" t="s">
        <v>203</v>
      </c>
      <c r="G51" s="5" t="s">
        <v>21</v>
      </c>
      <c r="H51" s="5" t="str">
        <f aca="false">"site:linkedin.com/in """ &amp; $B$51 &amp; """ (""Partnerships"" OR ""Strategic Partnerships"" OR ""Brand Partnerships"" OR ""Strategic Alliances"" OR ""Business Development"" OR ""Sponsorship"" OR ""Experiential Marketing"" OR ""Event Marketing"" OR ""Corporate Communications"" OR ""Marketing Director"" OR ""Head of Marketing"" OR CMO)"</f>
        <v>site:linkedin.com/in "Western Digital (SanDisk Professional)" ("Partnerships" OR "Strategic Partnerships" OR "Brand Partnerships" OR "Strategic Alliances" OR "Business Development" OR "Sponsorship" OR "Experiential Marketing" OR "Event Marketing" OR "Corporate Communications" OR "Marketing Director" OR "Head of Marketing" OR CMO)</v>
      </c>
      <c r="I51" s="5" t="str">
        <f aca="false">"site:linkedin.com/in """ &amp; $B$51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"Western Digital (SanDisk Professional)"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1" s="5" t="str">
        <f aca="false">"""" &amp; $B$51 &amp; """ (""partnership"" OR ""partnerships"" OR sponsorship OR sponsor OR ""strategic partnership"" OR ""brand partnership"" OR ""business development"" OR alliances OR ""corporate communications"") (contact OR email OR ""contact us"" OR ""media contact"")"</f>
        <v>"Western Digital (SanDisk Professional)" ("partnership" OR "partnerships" OR sponsorship OR sponsor OR "strategic partnership" OR "brand partnership" OR "business development" OR alliances OR "corporate communications") (contact OR email OR "contact us" OR "media contact")</v>
      </c>
      <c r="K51" s="5" t="str">
        <f aca="false">"""" &amp; $B$51 &amp; """ India (""partnership"" OR ""partnerships"" OR sponsorship OR sponsor OR ""strategic partnership"" OR ""brand partnership"" OR ""business development"" OR alliances OR ""corporate communications"") (contact OR email OR ""contact us"" OR ""media contact"")"</f>
        <v>"Western Digital (SanDisk Professional)" India ("partnership" OR "partnerships" OR sponsorship OR sponsor OR "strategic partnership" OR "brand partnership" OR "business development" OR alliances OR "corporate communications") (contact OR email OR "contact us" OR "media contact")</v>
      </c>
      <c r="L51" s="5" t="s">
        <v>22</v>
      </c>
      <c r="M51" s="5" t="s">
        <v>23</v>
      </c>
      <c r="N51" s="5"/>
    </row>
    <row r="52" customFormat="false" ht="15" hidden="false" customHeight="true" outlineLevel="0" collapsed="false">
      <c r="A52" s="5" t="n">
        <v>49</v>
      </c>
      <c r="B52" s="5" t="s">
        <v>204</v>
      </c>
      <c r="C52" s="5" t="s">
        <v>129</v>
      </c>
      <c r="D52" s="5" t="s">
        <v>205</v>
      </c>
      <c r="E52" s="5" t="s">
        <v>206</v>
      </c>
      <c r="F52" s="5" t="s">
        <v>207</v>
      </c>
      <c r="G52" s="5" t="s">
        <v>21</v>
      </c>
      <c r="H52" s="5" t="str">
        <f aca="false">"site:linkedin.com/in """ &amp; $B$52 &amp; """ (""Partnerships"" OR ""Strategic Partnerships"" OR ""Brand Partnerships"" OR ""Strategic Alliances"" OR ""Business Development"" OR ""Sponsorship"" OR ""Experiential Marketing"" OR ""Event Marketing"" OR ""Corporate Communications"" OR ""Marketing Director"" OR ""Head of Marketing"" OR CMO)"</f>
        <v>site:linkedin.com/in "Samsung India" ("Partnerships" OR "Strategic Partnerships" OR "Brand Partnerships" OR "Strategic Alliances" OR "Business Development" OR "Sponsorship" OR "Experiential Marketing" OR "Event Marketing" OR "Corporate Communications" OR "Marketing Director" OR "Head of Marketing" OR CMO)</v>
      </c>
      <c r="I52" s="5" t="str">
        <f aca="false">"site:linkedin.com/in """ &amp; $B$52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"Samsung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2" s="5" t="str">
        <f aca="false">"""" &amp; $B$52 &amp; """ (""partnership"" OR ""partnerships"" OR sponsorship OR sponsor OR ""strategic partnership"" OR ""brand partnership"" OR ""business development"" OR alliances OR ""corporate communications"") (contact OR email OR ""contact us"" OR ""media contact"")"</f>
        <v>"Samsung India" ("partnership" OR "partnerships" OR sponsorship OR sponsor OR "strategic partnership" OR "brand partnership" OR "business development" OR alliances OR "corporate communications") (contact OR email OR "contact us" OR "media contact")</v>
      </c>
      <c r="K52" s="5" t="str">
        <f aca="false">"""" &amp; $B$52 &amp; """ India (""partnership"" OR ""partnerships"" OR sponsorship OR sponsor OR ""strategic partnership"" OR ""brand partnership"" OR ""business development"" OR alliances OR ""corporate communications"") (contact OR email OR ""contact us"" OR ""media contact"")"</f>
        <v>"Samsung India" India ("partnership" OR "partnerships" OR sponsorship OR sponsor OR "strategic partnership" OR "brand partnership" OR "business development" OR alliances OR "corporate communications") (contact OR email OR "contact us" OR "media contact")</v>
      </c>
      <c r="L52" s="5" t="s">
        <v>22</v>
      </c>
      <c r="M52" s="5" t="s">
        <v>23</v>
      </c>
      <c r="N52" s="5"/>
    </row>
    <row r="53" customFormat="false" ht="15" hidden="false" customHeight="true" outlineLevel="0" collapsed="false">
      <c r="A53" s="5" t="n">
        <v>50</v>
      </c>
      <c r="B53" s="5" t="s">
        <v>208</v>
      </c>
      <c r="C53" s="5" t="s">
        <v>209</v>
      </c>
      <c r="D53" s="5" t="s">
        <v>210</v>
      </c>
      <c r="E53" s="5" t="s">
        <v>211</v>
      </c>
      <c r="F53" s="5" t="s">
        <v>212</v>
      </c>
      <c r="G53" s="5" t="s">
        <v>21</v>
      </c>
      <c r="H53" s="5" t="str">
        <f aca="false">"site:linkedin.com/in """ &amp; $B$53 &amp; """ (""Partnerships"" OR ""Strategic Partnerships"" OR ""Brand Partnerships"" OR ""Strategic Alliances"" OR ""Business Development"" OR ""Sponsorship"" OR ""Experiential Marketing"" OR ""Event Marketing"" OR ""Corporate Communications"" OR ""Marketing Director"" OR ""Head of Marketing"" OR CMO)"</f>
        <v>site:linkedin.com/in "Krutrim AI (Ola Krutrim)" ("Partnerships" OR "Strategic Partnerships" OR "Brand Partnerships" OR "Strategic Alliances" OR "Business Development" OR "Sponsorship" OR "Experiential Marketing" OR "Event Marketing" OR "Corporate Communications" OR "Marketing Director" OR "Head of Marketing" OR CMO)</v>
      </c>
      <c r="I53" s="5" t="str">
        <f aca="false">"site:linkedin.com/in """ &amp; $B$53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"Krutrim AI (Ola Krutrim)"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3" s="5" t="str">
        <f aca="false">"""" &amp; $B$53 &amp; """ (""partnership"" OR ""partnerships"" OR sponsorship OR sponsor OR ""strategic partnership"" OR ""brand partnership"" OR ""business development"" OR alliances OR ""corporate communications"") (contact OR email OR ""contact us"" OR ""media contact"")"</f>
        <v>"Krutrim AI (Ola Krutrim)" ("partnership" OR "partnerships" OR sponsorship OR sponsor OR "strategic partnership" OR "brand partnership" OR "business development" OR alliances OR "corporate communications") (contact OR email OR "contact us" OR "media contact")</v>
      </c>
      <c r="K53" s="5" t="str">
        <f aca="false">"""" &amp; $B$53 &amp; """ India (""partnership"" OR ""partnerships"" OR sponsorship OR sponsor OR ""strategic partnership"" OR ""brand partnership"" OR ""business development"" OR alliances OR ""corporate communications"") (contact OR email OR ""contact us"" OR ""media contact"")"</f>
        <v>"Krutrim AI (Ola Krutrim)" India ("partnership" OR "partnerships" OR sponsorship OR sponsor OR "strategic partnership" OR "brand partnership" OR "business development" OR alliances OR "corporate communications") (contact OR email OR "contact us" OR "media contact")</v>
      </c>
      <c r="L53" s="5" t="s">
        <v>22</v>
      </c>
      <c r="M53" s="5" t="s">
        <v>23</v>
      </c>
      <c r="N53" s="5"/>
    </row>
    <row r="54" customFormat="false" ht="15" hidden="false" customHeight="true" outlineLevel="0" collapsed="false">
      <c r="A54" s="5" t="n">
        <v>51</v>
      </c>
      <c r="B54" s="5" t="s">
        <v>213</v>
      </c>
      <c r="C54" s="5" t="s">
        <v>209</v>
      </c>
      <c r="D54" s="5" t="s">
        <v>210</v>
      </c>
      <c r="E54" s="5" t="s">
        <v>214</v>
      </c>
      <c r="F54" s="5" t="s">
        <v>215</v>
      </c>
      <c r="G54" s="5" t="s">
        <v>21</v>
      </c>
      <c r="H54" s="5" t="str">
        <f aca="false">"site:linkedin.com/in """ &amp; $B$54 &amp; """ (""Partnerships"" OR ""Strategic Partnerships"" OR ""Brand Partnerships"" OR ""Strategic Alliances"" OR ""Business Development"" OR ""Sponsorship"" OR ""Experiential Marketing"" OR ""Event Marketing"" OR ""Corporate Communications"" OR ""Marketing Director"" OR ""Head of Marketing"" OR CMO)"</f>
        <v>site:linkedin.com/in "Sarvam AI" ("Partnerships" OR "Strategic Partnerships" OR "Brand Partnerships" OR "Strategic Alliances" OR "Business Development" OR "Sponsorship" OR "Experiential Marketing" OR "Event Marketing" OR "Corporate Communications" OR "Marketing Director" OR "Head of Marketing" OR CMO)</v>
      </c>
      <c r="I54" s="5" t="str">
        <f aca="false">"site:linkedin.com/in """ &amp; $B$54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"Sarvam 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4" s="5" t="str">
        <f aca="false">"""" &amp; $B$54 &amp; """ (""partnership"" OR ""partnerships"" OR sponsorship OR sponsor OR ""strategic partnership"" OR ""brand partnership"" OR ""business development"" OR alliances OR ""corporate communications"") (contact OR email OR ""contact us"" OR ""media contact"")"</f>
        <v>"Sarvam AI" ("partnership" OR "partnerships" OR sponsorship OR sponsor OR "strategic partnership" OR "brand partnership" OR "business development" OR alliances OR "corporate communications") (contact OR email OR "contact us" OR "media contact")</v>
      </c>
      <c r="K54" s="5" t="str">
        <f aca="false">"""" &amp; $B$54 &amp; """ India (""partnership"" OR ""partnerships"" OR sponsorship OR sponsor OR ""strategic partnership"" OR ""brand partnership"" OR ""business development"" OR alliances OR ""corporate communications"") (contact OR email OR ""contact us"" OR ""media contact"")"</f>
        <v>"Sarvam AI" India ("partnership" OR "partnerships" OR sponsorship OR sponsor OR "strategic partnership" OR "brand partnership" OR "business development" OR alliances OR "corporate communications") (contact OR email OR "contact us" OR "media contact")</v>
      </c>
      <c r="L54" s="5" t="s">
        <v>22</v>
      </c>
      <c r="M54" s="5" t="s">
        <v>28</v>
      </c>
      <c r="N54" s="5"/>
    </row>
    <row r="55" customFormat="false" ht="15" hidden="false" customHeight="true" outlineLevel="0" collapsed="false">
      <c r="A55" s="5" t="n">
        <v>52</v>
      </c>
      <c r="B55" s="5" t="s">
        <v>216</v>
      </c>
      <c r="C55" s="5" t="s">
        <v>209</v>
      </c>
      <c r="D55" s="5" t="s">
        <v>217</v>
      </c>
      <c r="E55" s="5" t="s">
        <v>218</v>
      </c>
      <c r="F55" s="5" t="s">
        <v>219</v>
      </c>
      <c r="G55" s="5" t="s">
        <v>21</v>
      </c>
      <c r="H55" s="5" t="str">
        <f aca="false">"site:linkedin.com/in """ &amp; $B$55 &amp; """ (""Partnerships"" OR ""Strategic Partnerships"" OR ""Brand Partnerships"" OR ""Strategic Alliances"" OR ""Business Development"" OR ""Sponsorship"" OR ""Experiential Marketing"" OR ""Event Marketing"" OR ""Corporate Communications"" OR ""Marketing Director"" OR ""Head of Marketing"" OR CMO)"</f>
        <v>site:linkedin.com/in "Yotta Data Services" ("Partnerships" OR "Strategic Partnerships" OR "Brand Partnerships" OR "Strategic Alliances" OR "Business Development" OR "Sponsorship" OR "Experiential Marketing" OR "Event Marketing" OR "Corporate Communications" OR "Marketing Director" OR "Head of Marketing" OR CMO)</v>
      </c>
      <c r="I55" s="5" t="str">
        <f aca="false">"site:linkedin.com/in """ &amp; $B$55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"Yotta Data Services"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5" s="5" t="str">
        <f aca="false">"""" &amp; $B$55 &amp; """ (""partnership"" OR ""partnerships"" OR sponsorship OR sponsor OR ""strategic partnership"" OR ""brand partnership"" OR ""business development"" OR alliances OR ""corporate communications"") (contact OR email OR ""contact us"" OR ""media contact"")"</f>
        <v>"Yotta Data Services" ("partnership" OR "partnerships" OR sponsorship OR sponsor OR "strategic partnership" OR "brand partnership" OR "business development" OR alliances OR "corporate communications") (contact OR email OR "contact us" OR "media contact")</v>
      </c>
      <c r="K55" s="5" t="str">
        <f aca="false">"""" &amp; $B$55 &amp; """ India (""partnership"" OR ""partnerships"" OR sponsorship OR sponsor OR ""strategic partnership"" OR ""brand partnership"" OR ""business development"" OR alliances OR ""corporate communications"") (contact OR email OR ""contact us"" OR ""media contact"")"</f>
        <v>"Yotta Data Services" India ("partnership" OR "partnerships" OR sponsorship OR sponsor OR "strategic partnership" OR "brand partnership" OR "business development" OR alliances OR "corporate communications") (contact OR email OR "contact us" OR "media contact")</v>
      </c>
      <c r="L55" s="5" t="s">
        <v>22</v>
      </c>
      <c r="M55" s="5" t="s">
        <v>23</v>
      </c>
      <c r="N55" s="5"/>
    </row>
    <row r="56" customFormat="false" ht="15" hidden="false" customHeight="true" outlineLevel="0" collapsed="false">
      <c r="A56" s="5" t="n">
        <v>53</v>
      </c>
      <c r="B56" s="5" t="s">
        <v>220</v>
      </c>
      <c r="C56" s="5" t="s">
        <v>209</v>
      </c>
      <c r="D56" s="5" t="s">
        <v>221</v>
      </c>
      <c r="E56" s="5" t="s">
        <v>222</v>
      </c>
      <c r="F56" s="5" t="s">
        <v>223</v>
      </c>
      <c r="G56" s="5" t="s">
        <v>21</v>
      </c>
      <c r="H56" s="5" t="str">
        <f aca="false">"site:linkedin.com/in """ &amp; $B$56 &amp; """ (""Partnerships"" OR ""Strategic Partnerships"" OR ""Brand Partnerships"" OR ""Strategic Alliances"" OR ""Business Development"" OR ""Sponsorship"" OR ""Experiential Marketing"" OR ""Event Marketing"" OR ""Corporate Communications"" OR ""Marketing Director"" OR ""Head of Marketing"" OR CMO)"</f>
        <v>site:linkedin.com/in "E2E Networks" ("Partnerships" OR "Strategic Partnerships" OR "Brand Partnerships" OR "Strategic Alliances" OR "Business Development" OR "Sponsorship" OR "Experiential Marketing" OR "Event Marketing" OR "Corporate Communications" OR "Marketing Director" OR "Head of Marketing" OR CMO)</v>
      </c>
      <c r="I56" s="5" t="str">
        <f aca="false">"site:linkedin.com/in """ &amp; $B$56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"E2E Networks"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6" s="5" t="str">
        <f aca="false">"""" &amp; $B$56 &amp; """ (""partnership"" OR ""partnerships"" OR sponsorship OR sponsor OR ""strategic partnership"" OR ""brand partnership"" OR ""business development"" OR alliances OR ""corporate communications"") (contact OR email OR ""contact us"" OR ""media contact"")"</f>
        <v>"E2E Networks" ("partnership" OR "partnerships" OR sponsorship OR sponsor OR "strategic partnership" OR "brand partnership" OR "business development" OR alliances OR "corporate communications") (contact OR email OR "contact us" OR "media contact")</v>
      </c>
      <c r="K56" s="5" t="str">
        <f aca="false">"""" &amp; $B$56 &amp; """ India (""partnership"" OR ""partnerships"" OR sponsorship OR sponsor OR ""strategic partnership"" OR ""brand partnership"" OR ""business development"" OR alliances OR ""corporate communications"") (contact OR email OR ""contact us"" OR ""media contact"")"</f>
        <v>"E2E Networks" India ("partnership" OR "partnerships" OR sponsorship OR sponsor OR "strategic partnership" OR "brand partnership" OR "business development" OR alliances OR "corporate communications") (contact OR email OR "contact us" OR "media contact")</v>
      </c>
      <c r="L56" s="5" t="s">
        <v>22</v>
      </c>
      <c r="M56" s="5" t="s">
        <v>23</v>
      </c>
      <c r="N56" s="5"/>
    </row>
    <row r="57" customFormat="false" ht="15" hidden="false" customHeight="true" outlineLevel="0" collapsed="false">
      <c r="A57" s="5" t="n">
        <v>54</v>
      </c>
      <c r="B57" s="5" t="s">
        <v>224</v>
      </c>
      <c r="C57" s="5" t="s">
        <v>209</v>
      </c>
      <c r="D57" s="5" t="s">
        <v>225</v>
      </c>
      <c r="E57" s="5" t="s">
        <v>226</v>
      </c>
      <c r="F57" s="5" t="s">
        <v>227</v>
      </c>
      <c r="G57" s="5" t="s">
        <v>21</v>
      </c>
      <c r="H57" s="5" t="str">
        <f aca="false">"site:linkedin.com/in """ &amp; $B$57 &amp; """ (""Partnerships"" OR ""Strategic Partnerships"" OR ""Brand Partnerships"" OR ""Strategic Alliances"" OR ""Business Development"" OR ""Sponsorship"" OR ""Experiential Marketing"" OR ""Event Marketing"" OR ""Corporate Communications"" OR ""Marketing Director"" OR ""Head of Marketing"" OR CMO)"</f>
        <v>site:linkedin.com/in "Netweb Technologies" ("Partnerships" OR "Strategic Partnerships" OR "Brand Partnerships" OR "Strategic Alliances" OR "Business Development" OR "Sponsorship" OR "Experiential Marketing" OR "Event Marketing" OR "Corporate Communications" OR "Marketing Director" OR "Head of Marketing" OR CMO)</v>
      </c>
      <c r="I57" s="5" t="str">
        <f aca="false">"site:linkedin.com/in """ &amp; $B$57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"Netweb Technologies"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7" s="5" t="str">
        <f aca="false">"""" &amp; $B$57 &amp; """ (""partnership"" OR ""partnerships"" OR sponsorship OR sponsor OR ""strategic partnership"" OR ""brand partnership"" OR ""business development"" OR alliances OR ""corporate communications"") (contact OR email OR ""contact us"" OR ""media contact"")"</f>
        <v>"Netweb Technologies" ("partnership" OR "partnerships" OR sponsorship OR sponsor OR "strategic partnership" OR "brand partnership" OR "business development" OR alliances OR "corporate communications") (contact OR email OR "contact us" OR "media contact")</v>
      </c>
      <c r="K57" s="5" t="str">
        <f aca="false">"""" &amp; $B$57 &amp; """ India (""partnership"" OR ""partnerships"" OR sponsorship OR sponsor OR ""strategic partnership"" OR ""brand partnership"" OR ""business development"" OR alliances OR ""corporate communications"") (contact OR email OR ""contact us"" OR ""media contact"")"</f>
        <v>"Netweb Technologies" India ("partnership" OR "partnerships" OR sponsorship OR sponsor OR "strategic partnership" OR "brand partnership" OR "business development" OR alliances OR "corporate communications") (contact OR email OR "contact us" OR "media contact")</v>
      </c>
      <c r="L57" s="5" t="s">
        <v>22</v>
      </c>
      <c r="M57" s="5" t="s">
        <v>23</v>
      </c>
      <c r="N57" s="5"/>
    </row>
    <row r="58" customFormat="false" ht="15" hidden="false" customHeight="true" outlineLevel="0" collapsed="false">
      <c r="A58" s="5" t="n">
        <v>55</v>
      </c>
      <c r="B58" s="5" t="s">
        <v>228</v>
      </c>
      <c r="C58" s="5" t="s">
        <v>209</v>
      </c>
      <c r="D58" s="5" t="s">
        <v>229</v>
      </c>
      <c r="E58" s="5" t="s">
        <v>230</v>
      </c>
      <c r="F58" s="5" t="s">
        <v>231</v>
      </c>
      <c r="G58" s="5" t="s">
        <v>21</v>
      </c>
      <c r="H58" s="5" t="str">
        <f aca="false">"site:linkedin.com/in """ &amp; $B$58 &amp; """ (""Partnerships"" OR ""Strategic Partnerships"" OR ""Brand Partnerships"" OR ""Strategic Alliances"" OR ""Business Development"" OR ""Sponsorship"" OR ""Experiential Marketing"" OR ""Event Marketing"" OR ""Corporate Communications"" OR ""Marketing Director"" OR ""Head of Marketing"" OR CMO)"</f>
        <v>site:linkedin.com/in "CtrlS Datacenters" ("Partnerships" OR "Strategic Partnerships" OR "Brand Partnerships" OR "Strategic Alliances" OR "Business Development" OR "Sponsorship" OR "Experiential Marketing" OR "Event Marketing" OR "Corporate Communications" OR "Marketing Director" OR "Head of Marketing" OR CMO)</v>
      </c>
      <c r="I58" s="5" t="str">
        <f aca="false">"site:linkedin.com/in """ &amp; $B$58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"CtrlS Datacenters"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8" s="5" t="str">
        <f aca="false">"""" &amp; $B$58 &amp; """ (""partnership"" OR ""partnerships"" OR sponsorship OR sponsor OR ""strategic partnership"" OR ""brand partnership"" OR ""business development"" OR alliances OR ""corporate communications"") (contact OR email OR ""contact us"" OR ""media contact"")"</f>
        <v>"CtrlS Datacenters" ("partnership" OR "partnerships" OR sponsorship OR sponsor OR "strategic partnership" OR "brand partnership" OR "business development" OR alliances OR "corporate communications") (contact OR email OR "contact us" OR "media contact")</v>
      </c>
      <c r="K58" s="5" t="str">
        <f aca="false">"""" &amp; $B$58 &amp; """ India (""partnership"" OR ""partnerships"" OR sponsorship OR sponsor OR ""strategic partnership"" OR ""brand partnership"" OR ""business development"" OR alliances OR ""corporate communications"") (contact OR email OR ""contact us"" OR ""media contact"")"</f>
        <v>"CtrlS Datacenters" India ("partnership" OR "partnerships" OR sponsorship OR sponsor OR "strategic partnership" OR "brand partnership" OR "business development" OR alliances OR "corporate communications") (contact OR email OR "contact us" OR "media contact")</v>
      </c>
      <c r="L58" s="5" t="s">
        <v>22</v>
      </c>
      <c r="M58" s="5" t="s">
        <v>23</v>
      </c>
      <c r="N58" s="5"/>
    </row>
    <row r="59" customFormat="false" ht="15" hidden="false" customHeight="true" outlineLevel="0" collapsed="false">
      <c r="A59" s="5" t="n">
        <v>56</v>
      </c>
      <c r="B59" s="5" t="s">
        <v>232</v>
      </c>
      <c r="C59" s="5" t="s">
        <v>209</v>
      </c>
      <c r="D59" s="5" t="s">
        <v>181</v>
      </c>
      <c r="E59" s="5" t="s">
        <v>233</v>
      </c>
      <c r="F59" s="5" t="s">
        <v>234</v>
      </c>
      <c r="G59" s="5" t="s">
        <v>21</v>
      </c>
      <c r="H59" s="5" t="str">
        <f aca="false">"site:linkedin.com/in """ &amp; $B$59 &amp; """ (""Partnerships"" OR ""Strategic Partnerships"" OR ""Brand Partnerships"" OR ""Strategic Alliances"" OR ""Business Development"" OR ""Sponsorship"" OR ""Experiential Marketing"" OR ""Event Marketing"" OR ""Corporate Communications"" OR ""Marketing Director"" OR ""Head of Marketing"" OR CMO)"</f>
        <v>site:linkedin.com/in "Zoho Corporation" ("Partnerships" OR "Strategic Partnerships" OR "Brand Partnerships" OR "Strategic Alliances" OR "Business Development" OR "Sponsorship" OR "Experiential Marketing" OR "Event Marketing" OR "Corporate Communications" OR "Marketing Director" OR "Head of Marketing" OR CMO)</v>
      </c>
      <c r="I59" s="5" t="str">
        <f aca="false">"site:linkedin.com/in """ &amp; $B$59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"Zoho Corporation"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59" s="5" t="str">
        <f aca="false">"""" &amp; $B$59 &amp; """ (""partnership"" OR ""partnerships"" OR sponsorship OR sponsor OR ""strategic partnership"" OR ""brand partnership"" OR ""business development"" OR alliances OR ""corporate communications"") (contact OR email OR ""contact us"" OR ""media contact"")"</f>
        <v>"Zoho Corporation" ("partnership" OR "partnerships" OR sponsorship OR sponsor OR "strategic partnership" OR "brand partnership" OR "business development" OR alliances OR "corporate communications") (contact OR email OR "contact us" OR "media contact")</v>
      </c>
      <c r="K59" s="5" t="str">
        <f aca="false">"""" &amp; $B$59 &amp; """ India (""partnership"" OR ""partnerships"" OR sponsorship OR sponsor OR ""strategic partnership"" OR ""brand partnership"" OR ""business development"" OR alliances OR ""corporate communications"") (contact OR email OR ""contact us"" OR ""media contact"")"</f>
        <v>"Zoho Corporation" India ("partnership" OR "partnerships" OR sponsorship OR sponsor OR "strategic partnership" OR "brand partnership" OR "business development" OR alliances OR "corporate communications") (contact OR email OR "contact us" OR "media contact")</v>
      </c>
      <c r="L59" s="5" t="s">
        <v>169</v>
      </c>
      <c r="M59" s="5" t="s">
        <v>170</v>
      </c>
      <c r="N59" s="5" t="s">
        <v>235</v>
      </c>
    </row>
    <row r="60" customFormat="false" ht="15" hidden="false" customHeight="true" outlineLevel="0" collapsed="false">
      <c r="A60" s="5" t="n">
        <v>57</v>
      </c>
      <c r="B60" s="5" t="s">
        <v>236</v>
      </c>
      <c r="C60" s="5" t="s">
        <v>209</v>
      </c>
      <c r="D60" s="5" t="s">
        <v>58</v>
      </c>
      <c r="E60" s="5" t="s">
        <v>237</v>
      </c>
      <c r="F60" s="5" t="s">
        <v>238</v>
      </c>
      <c r="G60" s="5" t="s">
        <v>21</v>
      </c>
      <c r="H60" s="5" t="str">
        <f aca="false">"site:linkedin.com/in """ &amp; $B$60 &amp; """ (""Partnerships"" OR ""Strategic Partnerships"" OR ""Brand Partnerships"" OR ""Strategic Alliances"" OR ""Business Development"" OR ""Sponsorship"" OR ""Experiential Marketing"" OR ""Event Marketing"" OR ""Corporate Communications"" OR ""Marketing Director"" OR ""Head of Marketing"" OR CMO)"</f>
        <v>site:linkedin.com/in "Fractal Analytics" ("Partnerships" OR "Strategic Partnerships" OR "Brand Partnerships" OR "Strategic Alliances" OR "Business Development" OR "Sponsorship" OR "Experiential Marketing" OR "Event Marketing" OR "Corporate Communications" OR "Marketing Director" OR "Head of Marketing" OR CMO)</v>
      </c>
      <c r="I60" s="5" t="str">
        <f aca="false">"site:linkedin.com/in """ &amp; $B$60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"Fractal Analytics"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0" s="5" t="str">
        <f aca="false">"""" &amp; $B$60 &amp; """ (""partnership"" OR ""partnerships"" OR sponsorship OR sponsor OR ""strategic partnership"" OR ""brand partnership"" OR ""business development"" OR alliances OR ""corporate communications"") (contact OR email OR ""contact us"" OR ""media contact"")"</f>
        <v>"Fractal Analytics" ("partnership" OR "partnerships" OR sponsorship OR sponsor OR "strategic partnership" OR "brand partnership" OR "business development" OR alliances OR "corporate communications") (contact OR email OR "contact us" OR "media contact")</v>
      </c>
      <c r="K60" s="5" t="str">
        <f aca="false">"""" &amp; $B$60 &amp; """ India (""partnership"" OR ""partnerships"" OR sponsorship OR sponsor OR ""strategic partnership"" OR ""brand partnership"" OR ""business development"" OR alliances OR ""corporate communications"") (contact OR email OR ""contact us"" OR ""media contact"")"</f>
        <v>"Fractal Analytics" India ("partnership" OR "partnerships" OR sponsorship OR sponsor OR "strategic partnership" OR "brand partnership" OR "business development" OR alliances OR "corporate communications") (contact OR email OR "contact us" OR "media contact")</v>
      </c>
      <c r="L60" s="5" t="s">
        <v>22</v>
      </c>
      <c r="M60" s="5" t="s">
        <v>239</v>
      </c>
      <c r="N60" s="5"/>
    </row>
    <row r="61" customFormat="false" ht="15" hidden="false" customHeight="true" outlineLevel="0" collapsed="false">
      <c r="A61" s="5" t="n">
        <v>58</v>
      </c>
      <c r="B61" s="5" t="s">
        <v>240</v>
      </c>
      <c r="C61" s="5" t="s">
        <v>209</v>
      </c>
      <c r="D61" s="5" t="s">
        <v>58</v>
      </c>
      <c r="E61" s="5" t="s">
        <v>241</v>
      </c>
      <c r="F61" s="5" t="s">
        <v>242</v>
      </c>
      <c r="G61" s="5" t="s">
        <v>21</v>
      </c>
      <c r="H61" s="5" t="str">
        <f aca="false">"site:linkedin.com/in """ &amp; $B$61 &amp; """ (""Partnerships"" OR ""Strategic Partnerships"" OR ""Brand Partnerships"" OR ""Strategic Alliances"" OR ""Business Development"" OR ""Sponsorship"" OR ""Experiential Marketing"" OR ""Event Marketing"" OR ""Corporate Communications"" OR ""Marketing Director"" OR ""Head of Marketing"" OR CMO)"</f>
        <v>site:linkedin.com/in "Quantiphi" ("Partnerships" OR "Strategic Partnerships" OR "Brand Partnerships" OR "Strategic Alliances" OR "Business Development" OR "Sponsorship" OR "Experiential Marketing" OR "Event Marketing" OR "Corporate Communications" OR "Marketing Director" OR "Head of Marketing" OR CMO)</v>
      </c>
      <c r="I61" s="5" t="str">
        <f aca="false">"site:linkedin.com/in """ &amp; $B$61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"Quantiphi"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1" s="5" t="str">
        <f aca="false">"""" &amp; $B$61 &amp; """ (""partnership"" OR ""partnerships"" OR sponsorship OR sponsor OR ""strategic partnership"" OR ""brand partnership"" OR ""business development"" OR alliances OR ""corporate communications"") (contact OR email OR ""contact us"" OR ""media contact"")"</f>
        <v>"Quantiphi" ("partnership" OR "partnerships" OR sponsorship OR sponsor OR "strategic partnership" OR "brand partnership" OR "business development" OR alliances OR "corporate communications") (contact OR email OR "contact us" OR "media contact")</v>
      </c>
      <c r="K61" s="5" t="str">
        <f aca="false">"""" &amp; $B$61 &amp; """ India (""partnership"" OR ""partnerships"" OR sponsorship OR sponsor OR ""strategic partnership"" OR ""brand partnership"" OR ""business development"" OR alliances OR ""corporate communications"") (contact OR email OR ""contact us"" OR ""media contact"")"</f>
        <v>"Quantiphi" India ("partnership" OR "partnerships" OR sponsorship OR sponsor OR "strategic partnership" OR "brand partnership" OR "business development" OR alliances OR "corporate communications") (contact OR email OR "contact us" OR "media contact")</v>
      </c>
      <c r="L61" s="5" t="s">
        <v>22</v>
      </c>
      <c r="M61" s="5" t="s">
        <v>28</v>
      </c>
      <c r="N61" s="5"/>
    </row>
    <row r="62" customFormat="false" ht="15" hidden="false" customHeight="true" outlineLevel="0" collapsed="false">
      <c r="A62" s="5" t="n">
        <v>59</v>
      </c>
      <c r="B62" s="5" t="s">
        <v>243</v>
      </c>
      <c r="C62" s="5" t="s">
        <v>209</v>
      </c>
      <c r="D62" s="5" t="s">
        <v>244</v>
      </c>
      <c r="E62" s="5" t="s">
        <v>245</v>
      </c>
      <c r="F62" s="5" t="s">
        <v>246</v>
      </c>
      <c r="G62" s="5" t="s">
        <v>21</v>
      </c>
      <c r="H62" s="5" t="str">
        <f aca="false">"site:linkedin.com/in """ &amp; $B$62 &amp; """ (""Partnerships"" OR ""Strategic Partnerships"" OR ""Brand Partnerships"" OR ""Strategic Alliances"" OR ""Business Development"" OR ""Sponsorship"" OR ""Experiential Marketing"" OR ""Event Marketing"" OR ""Corporate Communications"" OR ""Marketing Director"" OR ""Head of Marketing"" OR CMO)"</f>
        <v>site:linkedin.com/in "Uniphore" ("Partnerships" OR "Strategic Partnerships" OR "Brand Partnerships" OR "Strategic Alliances" OR "Business Development" OR "Sponsorship" OR "Experiential Marketing" OR "Event Marketing" OR "Corporate Communications" OR "Marketing Director" OR "Head of Marketing" OR CMO)</v>
      </c>
      <c r="I62" s="5" t="str">
        <f aca="false">"site:linkedin.com/in """ &amp; $B$62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"Uniphore"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2" s="5" t="str">
        <f aca="false">"""" &amp; $B$62 &amp; """ (""partnership"" OR ""partnerships"" OR sponsorship OR sponsor OR ""strategic partnership"" OR ""brand partnership"" OR ""business development"" OR alliances OR ""corporate communications"") (contact OR email OR ""contact us"" OR ""media contact"")"</f>
        <v>"Uniphore" ("partnership" OR "partnerships" OR sponsorship OR sponsor OR "strategic partnership" OR "brand partnership" OR "business development" OR alliances OR "corporate communications") (contact OR email OR "contact us" OR "media contact")</v>
      </c>
      <c r="K62" s="5" t="str">
        <f aca="false">"""" &amp; $B$62 &amp; """ India (""partnership"" OR ""partnerships"" OR sponsorship OR sponsor OR ""strategic partnership"" OR ""brand partnership"" OR ""business development"" OR alliances OR ""corporate communications"") (contact OR email OR ""contact us"" OR ""media contact"")"</f>
        <v>"Uniphore" India ("partnership" OR "partnerships" OR sponsorship OR sponsor OR "strategic partnership" OR "brand partnership" OR "business development" OR alliances OR "corporate communications") (contact OR email OR "contact us" OR "media contact")</v>
      </c>
      <c r="L62" s="5" t="s">
        <v>22</v>
      </c>
      <c r="M62" s="5" t="s">
        <v>28</v>
      </c>
      <c r="N62" s="5"/>
    </row>
    <row r="63" customFormat="false" ht="15" hidden="false" customHeight="true" outlineLevel="0" collapsed="false">
      <c r="A63" s="5" t="n">
        <v>60</v>
      </c>
      <c r="B63" s="5" t="s">
        <v>247</v>
      </c>
      <c r="C63" s="5" t="s">
        <v>209</v>
      </c>
      <c r="D63" s="5" t="s">
        <v>248</v>
      </c>
      <c r="E63" s="5" t="s">
        <v>249</v>
      </c>
      <c r="F63" s="5" t="s">
        <v>250</v>
      </c>
      <c r="G63" s="5" t="s">
        <v>21</v>
      </c>
      <c r="H63" s="5" t="str">
        <f aca="false">"site:linkedin.com/in """ &amp; $B$63 &amp; """ (""Partnerships"" OR ""Strategic Partnerships"" OR ""Brand Partnerships"" OR ""Strategic Alliances"" OR ""Business Development"" OR ""Sponsorship"" OR ""Experiential Marketing"" OR ""Event Marketing"" OR ""Corporate Communications"" OR ""Marketing Director"" OR ""Head of Marketing"" OR CMO)"</f>
        <v>site:linkedin.com/in "Yellow.ai" ("Partnerships" OR "Strategic Partnerships" OR "Brand Partnerships" OR "Strategic Alliances" OR "Business Development" OR "Sponsorship" OR "Experiential Marketing" OR "Event Marketing" OR "Corporate Communications" OR "Marketing Director" OR "Head of Marketing" OR CMO)</v>
      </c>
      <c r="I63" s="5" t="str">
        <f aca="false">"site:linkedin.com/in """ &amp; $B$63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"Yellow.ai"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3" s="5" t="str">
        <f aca="false">"""" &amp; $B$63 &amp; """ (""partnership"" OR ""partnerships"" OR sponsorship OR sponsor OR ""strategic partnership"" OR ""brand partnership"" OR ""business development"" OR alliances OR ""corporate communications"") (contact OR email OR ""contact us"" OR ""media contact"")"</f>
        <v>"Yellow.ai" ("partnership" OR "partnerships" OR sponsorship OR sponsor OR "strategic partnership" OR "brand partnership" OR "business development" OR alliances OR "corporate communications") (contact OR email OR "contact us" OR "media contact")</v>
      </c>
      <c r="K63" s="5" t="str">
        <f aca="false">"""" &amp; $B$63 &amp; """ India (""partnership"" OR ""partnerships"" OR sponsorship OR sponsor OR ""strategic partnership"" OR ""brand partnership"" OR ""business development"" OR alliances OR ""corporate communications"") (contact OR email OR ""contact us"" OR ""media contact"")"</f>
        <v>"Yellow.ai" India ("partnership" OR "partnerships" OR sponsorship OR sponsor OR "strategic partnership" OR "brand partnership" OR "business development" OR alliances OR "corporate communications") (contact OR email OR "contact us" OR "media contact")</v>
      </c>
      <c r="L63" s="5" t="s">
        <v>22</v>
      </c>
      <c r="M63" s="5" t="s">
        <v>28</v>
      </c>
      <c r="N63" s="5"/>
    </row>
    <row r="64" customFormat="false" ht="15" hidden="false" customHeight="true" outlineLevel="0" collapsed="false">
      <c r="A64" s="5" t="n">
        <v>61</v>
      </c>
      <c r="B64" s="5" t="s">
        <v>251</v>
      </c>
      <c r="C64" s="5" t="s">
        <v>209</v>
      </c>
      <c r="D64" s="5" t="s">
        <v>210</v>
      </c>
      <c r="E64" s="5" t="s">
        <v>252</v>
      </c>
      <c r="F64" s="5" t="s">
        <v>253</v>
      </c>
      <c r="G64" s="5" t="s">
        <v>21</v>
      </c>
      <c r="H64" s="5" t="str">
        <f aca="false">"site:linkedin.com/in """ &amp; $B$64 &amp; """ (""Partnerships"" OR ""Strategic Partnerships"" OR ""Brand Partnerships"" OR ""Strategic Alliances"" OR ""Business Development"" OR ""Sponsorship"" OR ""Experiential Marketing"" OR ""Event Marketing"" OR ""Corporate Communications"" OR ""Marketing Director"" OR ""Head of Marketing"" OR CMO)"</f>
        <v>site:linkedin.com/in "CoRover.ai" ("Partnerships" OR "Strategic Partnerships" OR "Brand Partnerships" OR "Strategic Alliances" OR "Business Development" OR "Sponsorship" OR "Experiential Marketing" OR "Event Marketing" OR "Corporate Communications" OR "Marketing Director" OR "Head of Marketing" OR CMO)</v>
      </c>
      <c r="I64" s="5" t="str">
        <f aca="false">"site:linkedin.com/in """ &amp; $B$64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"CoRover.ai"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4" s="5" t="str">
        <f aca="false">"""" &amp; $B$64 &amp; """ (""partnership"" OR ""partnerships"" OR sponsorship OR sponsor OR ""strategic partnership"" OR ""brand partnership"" OR ""business development"" OR alliances OR ""corporate communications"") (contact OR email OR ""contact us"" OR ""media contact"")"</f>
        <v>"CoRover.ai" ("partnership" OR "partnerships" OR sponsorship OR sponsor OR "strategic partnership" OR "brand partnership" OR "business development" OR alliances OR "corporate communications") (contact OR email OR "contact us" OR "media contact")</v>
      </c>
      <c r="K64" s="5" t="str">
        <f aca="false">"""" &amp; $B$64 &amp; """ India (""partnership"" OR ""partnerships"" OR sponsorship OR sponsor OR ""strategic partnership"" OR ""brand partnership"" OR ""business development"" OR alliances OR ""corporate communications"") (contact OR email OR ""contact us"" OR ""media contact"")"</f>
        <v>"CoRover.ai" India ("partnership" OR "partnerships" OR sponsorship OR sponsor OR "strategic partnership" OR "brand partnership" OR "business development" OR alliances OR "corporate communications") (contact OR email OR "contact us" OR "media contact")</v>
      </c>
      <c r="L64" s="5" t="s">
        <v>22</v>
      </c>
      <c r="M64" s="5" t="s">
        <v>28</v>
      </c>
      <c r="N64" s="5"/>
    </row>
    <row r="65" customFormat="false" ht="15" hidden="false" customHeight="true" outlineLevel="0" collapsed="false">
      <c r="A65" s="5" t="n">
        <v>62</v>
      </c>
      <c r="B65" s="5" t="s">
        <v>254</v>
      </c>
      <c r="C65" s="5" t="s">
        <v>209</v>
      </c>
      <c r="D65" s="5" t="s">
        <v>210</v>
      </c>
      <c r="E65" s="5" t="s">
        <v>255</v>
      </c>
      <c r="F65" s="5" t="s">
        <v>256</v>
      </c>
      <c r="G65" s="5" t="s">
        <v>21</v>
      </c>
      <c r="H65" s="5" t="str">
        <f aca="false">"site:linkedin.com/in """ &amp; $B$65 &amp; """ (""Partnerships"" OR ""Strategic Partnerships"" OR ""Brand Partnerships"" OR ""Strategic Alliances"" OR ""Business Development"" OR ""Sponsorship"" OR ""Experiential Marketing"" OR ""Event Marketing"" OR ""Corporate Communications"" OR ""Marketing Director"" OR ""Head of Marketing"" OR CMO)"</f>
        <v>site:linkedin.com/in "Gnani.ai" ("Partnerships" OR "Strategic Partnerships" OR "Brand Partnerships" OR "Strategic Alliances" OR "Business Development" OR "Sponsorship" OR "Experiential Marketing" OR "Event Marketing" OR "Corporate Communications" OR "Marketing Director" OR "Head of Marketing" OR CMO)</v>
      </c>
      <c r="I65" s="5" t="str">
        <f aca="false">"site:linkedin.com/in """ &amp; $B$65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"Gnani.ai"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5" s="5" t="str">
        <f aca="false">"""" &amp; $B$65 &amp; """ (""partnership"" OR ""partnerships"" OR sponsorship OR sponsor OR ""strategic partnership"" OR ""brand partnership"" OR ""business development"" OR alliances OR ""corporate communications"") (contact OR email OR ""contact us"" OR ""media contact"")"</f>
        <v>"Gnani.ai" ("partnership" OR "partnerships" OR sponsorship OR sponsor OR "strategic partnership" OR "brand partnership" OR "business development" OR alliances OR "corporate communications") (contact OR email OR "contact us" OR "media contact")</v>
      </c>
      <c r="K65" s="5" t="str">
        <f aca="false">"""" &amp; $B$65 &amp; """ India (""partnership"" OR ""partnerships"" OR sponsorship OR sponsor OR ""strategic partnership"" OR ""brand partnership"" OR ""business development"" OR alliances OR ""corporate communications"") (contact OR email OR ""contact us"" OR ""media contact"")"</f>
        <v>"Gnani.ai" India ("partnership" OR "partnerships" OR sponsorship OR sponsor OR "strategic partnership" OR "brand partnership" OR "business development" OR alliances OR "corporate communications") (contact OR email OR "contact us" OR "media contact")</v>
      </c>
      <c r="L65" s="5" t="s">
        <v>22</v>
      </c>
      <c r="M65" s="5" t="s">
        <v>28</v>
      </c>
      <c r="N65" s="5"/>
    </row>
    <row r="66" customFormat="false" ht="15" hidden="false" customHeight="true" outlineLevel="0" collapsed="false">
      <c r="A66" s="5" t="n">
        <v>63</v>
      </c>
      <c r="B66" s="5" t="s">
        <v>257</v>
      </c>
      <c r="C66" s="5" t="s">
        <v>209</v>
      </c>
      <c r="D66" s="5" t="s">
        <v>258</v>
      </c>
      <c r="E66" s="5" t="s">
        <v>259</v>
      </c>
      <c r="F66" s="5" t="s">
        <v>260</v>
      </c>
      <c r="G66" s="5" t="s">
        <v>21</v>
      </c>
      <c r="H66" s="5" t="str">
        <f aca="false">"site:linkedin.com/in """ &amp; $B$66 &amp; """ (""Partnerships"" OR ""Strategic Partnerships"" OR ""Brand Partnerships"" OR ""Strategic Alliances"" OR ""Business Development"" OR ""Sponsorship"" OR ""Experiential Marketing"" OR ""Event Marketing"" OR ""Corporate Communications"" OR ""Marketing Director"" OR ""Head of Marketing"" OR CMO)"</f>
        <v>site:linkedin.com/in "Innovaccer" ("Partnerships" OR "Strategic Partnerships" OR "Brand Partnerships" OR "Strategic Alliances" OR "Business Development" OR "Sponsorship" OR "Experiential Marketing" OR "Event Marketing" OR "Corporate Communications" OR "Marketing Director" OR "Head of Marketing" OR CMO)</v>
      </c>
      <c r="I66" s="5" t="str">
        <f aca="false">"site:linkedin.com/in """ &amp; $B$66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"Innovaccer"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6" s="5" t="str">
        <f aca="false">"""" &amp; $B$66 &amp; """ (""partnership"" OR ""partnerships"" OR sponsorship OR sponsor OR ""strategic partnership"" OR ""brand partnership"" OR ""business development"" OR alliances OR ""corporate communications"") (contact OR email OR ""contact us"" OR ""media contact"")"</f>
        <v>"Innovaccer" ("partnership" OR "partnerships" OR sponsorship OR sponsor OR "strategic partnership" OR "brand partnership" OR "business development" OR alliances OR "corporate communications") (contact OR email OR "contact us" OR "media contact")</v>
      </c>
      <c r="K66" s="5" t="str">
        <f aca="false">"""" &amp; $B$66 &amp; """ India (""partnership"" OR ""partnerships"" OR sponsorship OR sponsor OR ""strategic partnership"" OR ""brand partnership"" OR ""business development"" OR alliances OR ""corporate communications"") (contact OR email OR ""contact us"" OR ""media contact"")"</f>
        <v>"Innovaccer" India ("partnership" OR "partnerships" OR sponsorship OR sponsor OR "strategic partnership" OR "brand partnership" OR "business development" OR alliances OR "corporate communications") (contact OR email OR "contact us" OR "media contact")</v>
      </c>
      <c r="L66" s="5" t="s">
        <v>22</v>
      </c>
      <c r="M66" s="5" t="s">
        <v>261</v>
      </c>
      <c r="N66" s="5"/>
    </row>
    <row r="67" customFormat="false" ht="15" hidden="false" customHeight="true" outlineLevel="0" collapsed="false">
      <c r="A67" s="5" t="n">
        <v>64</v>
      </c>
      <c r="B67" s="5" t="s">
        <v>262</v>
      </c>
      <c r="C67" s="5" t="s">
        <v>209</v>
      </c>
      <c r="D67" s="5" t="s">
        <v>58</v>
      </c>
      <c r="E67" s="5" t="s">
        <v>263</v>
      </c>
      <c r="F67" s="5" t="s">
        <v>264</v>
      </c>
      <c r="G67" s="5" t="s">
        <v>21</v>
      </c>
      <c r="H67" s="5" t="str">
        <f aca="false">"site:linkedin.com/in """ &amp; $B$67 &amp; """ (""Partnerships"" OR ""Strategic Partnerships"" OR ""Brand Partnerships"" OR ""Strategic Alliances"" OR ""Business Development"" OR ""Sponsorship"" OR ""Experiential Marketing"" OR ""Event Marketing"" OR ""Corporate Communications"" OR ""Marketing Director"" OR ""Head of Marketing"" OR CMO)"</f>
        <v>site:linkedin.com/in "Netcore Cloud" ("Partnerships" OR "Strategic Partnerships" OR "Brand Partnerships" OR "Strategic Alliances" OR "Business Development" OR "Sponsorship" OR "Experiential Marketing" OR "Event Marketing" OR "Corporate Communications" OR "Marketing Director" OR "Head of Marketing" OR CMO)</v>
      </c>
      <c r="I67" s="5" t="str">
        <f aca="false">"site:linkedin.com/in """ &amp; $B$67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"Netcore Cloud"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7" s="5" t="str">
        <f aca="false">"""" &amp; $B$67 &amp; """ (""partnership"" OR ""partnerships"" OR sponsorship OR sponsor OR ""strategic partnership"" OR ""brand partnership"" OR ""business development"" OR alliances OR ""corporate communications"") (contact OR email OR ""contact us"" OR ""media contact"")"</f>
        <v>"Netcore Cloud" ("partnership" OR "partnerships" OR sponsorship OR sponsor OR "strategic partnership" OR "brand partnership" OR "business development" OR alliances OR "corporate communications") (contact OR email OR "contact us" OR "media contact")</v>
      </c>
      <c r="K67" s="5" t="str">
        <f aca="false">"""" &amp; $B$67 &amp; """ India (""partnership"" OR ""partnerships"" OR sponsorship OR sponsor OR ""strategic partnership"" OR ""brand partnership"" OR ""business development"" OR alliances OR ""corporate communications"") (contact OR email OR ""contact us"" OR ""media contact"")"</f>
        <v>"Netcore Cloud" India ("partnership" OR "partnerships" OR sponsorship OR sponsor OR "strategic partnership" OR "brand partnership" OR "business development" OR alliances OR "corporate communications") (contact OR email OR "contact us" OR "media contact")</v>
      </c>
      <c r="L67" s="5" t="s">
        <v>22</v>
      </c>
      <c r="M67" s="5" t="s">
        <v>261</v>
      </c>
      <c r="N67" s="5"/>
    </row>
    <row r="68" customFormat="false" ht="15" hidden="false" customHeight="true" outlineLevel="0" collapsed="false">
      <c r="A68" s="5" t="n">
        <v>65</v>
      </c>
      <c r="B68" s="5" t="s">
        <v>265</v>
      </c>
      <c r="C68" s="5" t="s">
        <v>209</v>
      </c>
      <c r="D68" s="5" t="s">
        <v>266</v>
      </c>
      <c r="E68" s="5" t="s">
        <v>267</v>
      </c>
      <c r="F68" s="5" t="s">
        <v>268</v>
      </c>
      <c r="G68" s="5" t="s">
        <v>21</v>
      </c>
      <c r="H68" s="5" t="str">
        <f aca="false">"site:linkedin.com/in """ &amp; $B$68 &amp; """ (""Partnerships"" OR ""Strategic Partnerships"" OR ""Brand Partnerships"" OR ""Strategic Alliances"" OR ""Business Development"" OR ""Sponsorship"" OR ""Experiential Marketing"" OR ""Event Marketing"" OR ""Corporate Communications"" OR ""Marketing Director"" OR ""Head of Marketing"" OR CMO)"</f>
        <v>site:linkedin.com/in "Amagi" ("Partnerships" OR "Strategic Partnerships" OR "Brand Partnerships" OR "Strategic Alliances" OR "Business Development" OR "Sponsorship" OR "Experiential Marketing" OR "Event Marketing" OR "Corporate Communications" OR "Marketing Director" OR "Head of Marketing" OR CMO)</v>
      </c>
      <c r="I68" s="5" t="str">
        <f aca="false">"site:linkedin.com/in """ &amp; $B$68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"Amagi"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8" s="5" t="str">
        <f aca="false">"""" &amp; $B$68 &amp; """ (""partnership"" OR ""partnerships"" OR sponsorship OR sponsor OR ""strategic partnership"" OR ""brand partnership"" OR ""business development"" OR alliances OR ""corporate communications"") (contact OR email OR ""contact us"" OR ""media contact"")"</f>
        <v>"Amagi" ("partnership" OR "partnerships" OR sponsorship OR sponsor OR "strategic partnership" OR "brand partnership" OR "business development" OR alliances OR "corporate communications") (contact OR email OR "contact us" OR "media contact")</v>
      </c>
      <c r="K68" s="5" t="str">
        <f aca="false">"""" &amp; $B$68 &amp; """ India (""partnership"" OR ""partnerships"" OR sponsorship OR sponsor OR ""strategic partnership"" OR ""brand partnership"" OR ""business development"" OR alliances OR ""corporate communications"") (contact OR email OR ""contact us"" OR ""media contact"")"</f>
        <v>"Amagi" India ("partnership" OR "partnerships" OR sponsorship OR sponsor OR "strategic partnership" OR "brand partnership" OR "business development" OR alliances OR "corporate communications") (contact OR email OR "contact us" OR "media contact")</v>
      </c>
      <c r="L68" s="5" t="s">
        <v>22</v>
      </c>
      <c r="M68" s="5" t="s">
        <v>261</v>
      </c>
      <c r="N68" s="5"/>
    </row>
    <row r="69" customFormat="false" ht="15" hidden="false" customHeight="true" outlineLevel="0" collapsed="false">
      <c r="A69" s="5" t="n">
        <v>66</v>
      </c>
      <c r="B69" s="5" t="s">
        <v>269</v>
      </c>
      <c r="C69" s="5" t="s">
        <v>209</v>
      </c>
      <c r="D69" s="5" t="s">
        <v>229</v>
      </c>
      <c r="E69" s="5" t="s">
        <v>270</v>
      </c>
      <c r="F69" s="5" t="s">
        <v>271</v>
      </c>
      <c r="G69" s="5" t="s">
        <v>21</v>
      </c>
      <c r="H69" s="5" t="str">
        <f aca="false">"site:linkedin.com/in """ &amp; $B$69 &amp; """ (""Partnerships"" OR ""Strategic Partnerships"" OR ""Brand Partnerships"" OR ""Strategic Alliances"" OR ""Business Development"" OR ""Sponsorship"" OR ""Experiential Marketing"" OR ""Event Marketing"" OR ""Corporate Communications"" OR ""Marketing Director"" OR ""Head of Marketing"" OR CMO)"</f>
        <v>site:linkedin.com/in "Darwinbox" ("Partnerships" OR "Strategic Partnerships" OR "Brand Partnerships" OR "Strategic Alliances" OR "Business Development" OR "Sponsorship" OR "Experiential Marketing" OR "Event Marketing" OR "Corporate Communications" OR "Marketing Director" OR "Head of Marketing" OR CMO)</v>
      </c>
      <c r="I69" s="5" t="str">
        <f aca="false">"site:linkedin.com/in """ &amp; $B$69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"Darwinbox"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69" s="5" t="str">
        <f aca="false">"""" &amp; $B$69 &amp; """ (""partnership"" OR ""partnerships"" OR sponsorship OR sponsor OR ""strategic partnership"" OR ""brand partnership"" OR ""business development"" OR alliances OR ""corporate communications"") (contact OR email OR ""contact us"" OR ""media contact"")"</f>
        <v>"Darwinbox" ("partnership" OR "partnerships" OR sponsorship OR sponsor OR "strategic partnership" OR "brand partnership" OR "business development" OR alliances OR "corporate communications") (contact OR email OR "contact us" OR "media contact")</v>
      </c>
      <c r="K69" s="5" t="str">
        <f aca="false">"""" &amp; $B$69 &amp; """ India (""partnership"" OR ""partnerships"" OR sponsorship OR sponsor OR ""strategic partnership"" OR ""brand partnership"" OR ""business development"" OR alliances OR ""corporate communications"") (contact OR email OR ""contact us"" OR ""media contact"")"</f>
        <v>"Darwinbox" India ("partnership" OR "partnerships" OR sponsorship OR sponsor OR "strategic partnership" OR "brand partnership" OR "business development" OR alliances OR "corporate communications") (contact OR email OR "contact us" OR "media contact")</v>
      </c>
      <c r="L69" s="5" t="s">
        <v>22</v>
      </c>
      <c r="M69" s="5" t="s">
        <v>261</v>
      </c>
      <c r="N69" s="5"/>
    </row>
    <row r="70" customFormat="false" ht="15" hidden="false" customHeight="true" outlineLevel="0" collapsed="false">
      <c r="A70" s="5" t="n">
        <v>67</v>
      </c>
      <c r="B70" s="5" t="s">
        <v>272</v>
      </c>
      <c r="C70" s="5" t="s">
        <v>209</v>
      </c>
      <c r="D70" s="5" t="s">
        <v>273</v>
      </c>
      <c r="E70" s="5" t="s">
        <v>274</v>
      </c>
      <c r="F70" s="5" t="s">
        <v>275</v>
      </c>
      <c r="G70" s="5" t="s">
        <v>21</v>
      </c>
      <c r="H70" s="5" t="str">
        <f aca="false">"site:linkedin.com/in """ &amp; $B$70 &amp; """ (""Partnerships"" OR ""Strategic Partnerships"" OR ""Brand Partnerships"" OR ""Strategic Alliances"" OR ""Business Development"" OR ""Sponsorship"" OR ""Experiential Marketing"" OR ""Event Marketing"" OR ""Corporate Communications"" OR ""Marketing Director"" OR ""Head of Marketing"" OR CMO)"</f>
        <v>site:linkedin.com/in "Whatfix" ("Partnerships" OR "Strategic Partnerships" OR "Brand Partnerships" OR "Strategic Alliances" OR "Business Development" OR "Sponsorship" OR "Experiential Marketing" OR "Event Marketing" OR "Corporate Communications" OR "Marketing Director" OR "Head of Marketing" OR CMO)</v>
      </c>
      <c r="I70" s="5" t="str">
        <f aca="false">"site:linkedin.com/in """ &amp; $B$70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"Whatfix"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0" s="5" t="str">
        <f aca="false">"""" &amp; $B$70 &amp; """ (""partnership"" OR ""partnerships"" OR sponsorship OR sponsor OR ""strategic partnership"" OR ""brand partnership"" OR ""business development"" OR alliances OR ""corporate communications"") (contact OR email OR ""contact us"" OR ""media contact"")"</f>
        <v>"Whatfix" ("partnership" OR "partnerships" OR sponsorship OR sponsor OR "strategic partnership" OR "brand partnership" OR "business development" OR alliances OR "corporate communications") (contact OR email OR "contact us" OR "media contact")</v>
      </c>
      <c r="K70" s="5" t="str">
        <f aca="false">"""" &amp; $B$70 &amp; """ India (""partnership"" OR ""partnerships"" OR sponsorship OR sponsor OR ""strategic partnership"" OR ""brand partnership"" OR ""business development"" OR alliances OR ""corporate communications"") (contact OR email OR ""contact us"" OR ""media contact"")"</f>
        <v>"Whatfix" India ("partnership" OR "partnerships" OR sponsorship OR sponsor OR "strategic partnership" OR "brand partnership" OR "business development" OR alliances OR "corporate communications") (contact OR email OR "contact us" OR "media contact")</v>
      </c>
      <c r="L70" s="5" t="s">
        <v>22</v>
      </c>
      <c r="M70" s="5" t="s">
        <v>261</v>
      </c>
      <c r="N70" s="5"/>
    </row>
    <row r="71" customFormat="false" ht="15" hidden="false" customHeight="true" outlineLevel="0" collapsed="false">
      <c r="A71" s="5" t="n">
        <v>68</v>
      </c>
      <c r="B71" s="5" t="s">
        <v>276</v>
      </c>
      <c r="C71" s="5" t="s">
        <v>209</v>
      </c>
      <c r="D71" s="5" t="s">
        <v>58</v>
      </c>
      <c r="E71" s="5" t="s">
        <v>277</v>
      </c>
      <c r="F71" s="5" t="s">
        <v>278</v>
      </c>
      <c r="G71" s="5" t="s">
        <v>21</v>
      </c>
      <c r="H71" s="5" t="str">
        <f aca="false">"site:linkedin.com/in """ &amp; $B$71 &amp; """ (""Partnerships"" OR ""Strategic Partnerships"" OR ""Brand Partnerships"" OR ""Strategic Alliances"" OR ""Business Development"" OR ""Sponsorship"" OR ""Experiential Marketing"" OR ""Event Marketing"" OR ""Corporate Communications"" OR ""Marketing Director"" OR ""Head of Marketing"" OR CMO)"</f>
        <v>site:linkedin.com/in "Tata Communications" ("Partnerships" OR "Strategic Partnerships" OR "Brand Partnerships" OR "Strategic Alliances" OR "Business Development" OR "Sponsorship" OR "Experiential Marketing" OR "Event Marketing" OR "Corporate Communications" OR "Marketing Director" OR "Head of Marketing" OR CMO)</v>
      </c>
      <c r="I71" s="5" t="str">
        <f aca="false">"site:linkedin.com/in """ &amp; $B$71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"Tata Communications"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1" s="5" t="str">
        <f aca="false">"""" &amp; $B$71 &amp; """ (""partnership"" OR ""partnerships"" OR sponsorship OR sponsor OR ""strategic partnership"" OR ""brand partnership"" OR ""business development"" OR alliances OR ""corporate communications"") (contact OR email OR ""contact us"" OR ""media contact"")"</f>
        <v>"Tata Communications" ("partnership" OR "partnerships" OR sponsorship OR sponsor OR "strategic partnership" OR "brand partnership" OR "business development" OR alliances OR "corporate communications") (contact OR email OR "contact us" OR "media contact")</v>
      </c>
      <c r="K71" s="5" t="str">
        <f aca="false">"""" &amp; $B$71 &amp; """ India (""partnership"" OR ""partnerships"" OR sponsorship OR sponsor OR ""strategic partnership"" OR ""brand partnership"" OR ""business development"" OR alliances OR ""corporate communications"") (contact OR email OR ""contact us"" OR ""media contact"")"</f>
        <v>"Tata Communications" India ("partnership" OR "partnerships" OR sponsorship OR sponsor OR "strategic partnership" OR "brand partnership" OR "business development" OR alliances OR "corporate communications") (contact OR email OR "contact us" OR "media contact")</v>
      </c>
      <c r="L71" s="5" t="s">
        <v>22</v>
      </c>
      <c r="M71" s="5" t="s">
        <v>261</v>
      </c>
      <c r="N71" s="5"/>
    </row>
    <row r="72" customFormat="false" ht="15" hidden="false" customHeight="true" outlineLevel="0" collapsed="false">
      <c r="A72" s="5" t="n">
        <v>69</v>
      </c>
      <c r="B72" s="5" t="s">
        <v>279</v>
      </c>
      <c r="C72" s="5" t="s">
        <v>209</v>
      </c>
      <c r="D72" s="5" t="s">
        <v>280</v>
      </c>
      <c r="E72" s="5" t="s">
        <v>281</v>
      </c>
      <c r="F72" s="5" t="s">
        <v>282</v>
      </c>
      <c r="G72" s="5" t="s">
        <v>21</v>
      </c>
      <c r="H72" s="5" t="str">
        <f aca="false">"site:linkedin.com/in """ &amp; $B$72 &amp; """ (""Partnerships"" OR ""Strategic Partnerships"" OR ""Brand Partnerships"" OR ""Strategic Alliances"" OR ""Business Development"" OR ""Sponsorship"" OR ""Experiential Marketing"" OR ""Event Marketing"" OR ""Corporate Communications"" OR ""Marketing Director"" OR ""Head of Marketing"" OR CMO)"</f>
        <v>site:linkedin.com/in "Freshworks" ("Partnerships" OR "Strategic Partnerships" OR "Brand Partnerships" OR "Strategic Alliances" OR "Business Development" OR "Sponsorship" OR "Experiential Marketing" OR "Event Marketing" OR "Corporate Communications" OR "Marketing Director" OR "Head of Marketing" OR CMO)</v>
      </c>
      <c r="I72" s="5" t="str">
        <f aca="false">"site:linkedin.com/in """ &amp; $B$72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"Freshworks"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2" s="5" t="str">
        <f aca="false">"""" &amp; $B$72 &amp; """ (""partnership"" OR ""partnerships"" OR sponsorship OR sponsor OR ""strategic partnership"" OR ""brand partnership"" OR ""business development"" OR alliances OR ""corporate communications"") (contact OR email OR ""contact us"" OR ""media contact"")"</f>
        <v>"Freshworks" ("partnership" OR "partnerships" OR sponsorship OR sponsor OR "strategic partnership" OR "brand partnership" OR "business development" OR alliances OR "corporate communications") (contact OR email OR "contact us" OR "media contact")</v>
      </c>
      <c r="K72" s="5" t="str">
        <f aca="false">"""" &amp; $B$72 &amp; """ India (""partnership"" OR ""partnerships"" OR sponsorship OR sponsor OR ""strategic partnership"" OR ""brand partnership"" OR ""business development"" OR alliances OR ""corporate communications"") (contact OR email OR ""contact us"" OR ""media contact"")"</f>
        <v>"Freshworks" India ("partnership" OR "partnerships" OR sponsorship OR sponsor OR "strategic partnership" OR "brand partnership" OR "business development" OR alliances OR "corporate communications") (contact OR email OR "contact us" OR "media contact")</v>
      </c>
      <c r="L72" s="5" t="s">
        <v>169</v>
      </c>
      <c r="M72" s="5" t="s">
        <v>170</v>
      </c>
      <c r="N72" s="5" t="s">
        <v>235</v>
      </c>
    </row>
    <row r="73" customFormat="false" ht="15" hidden="false" customHeight="true" outlineLevel="0" collapsed="false">
      <c r="A73" s="5" t="n">
        <v>70</v>
      </c>
      <c r="B73" s="5" t="s">
        <v>283</v>
      </c>
      <c r="C73" s="5" t="s">
        <v>284</v>
      </c>
      <c r="D73" s="5" t="s">
        <v>285</v>
      </c>
      <c r="E73" s="5" t="s">
        <v>286</v>
      </c>
      <c r="F73" s="5" t="s">
        <v>287</v>
      </c>
      <c r="G73" s="5" t="s">
        <v>21</v>
      </c>
      <c r="H73" s="5" t="str">
        <f aca="false">"site:linkedin.com/in """ &amp; $B$73 &amp; """ (""Partnerships"" OR ""Strategic Partnerships"" OR ""Brand Partnerships"" OR ""Strategic Alliances"" OR ""Business Development"" OR ""Sponsorship"" OR ""Experiential Marketing"" OR ""Event Marketing"" OR ""Corporate Communications"" OR ""Marketing Director"" OR ""Head of Marketing"" OR CMO)"</f>
        <v>site:linkedin.com/in "PVR INOX Ltd" ("Partnerships" OR "Strategic Partnerships" OR "Brand Partnerships" OR "Strategic Alliances" OR "Business Development" OR "Sponsorship" OR "Experiential Marketing" OR "Event Marketing" OR "Corporate Communications" OR "Marketing Director" OR "Head of Marketing" OR CMO)</v>
      </c>
      <c r="I73" s="5" t="str">
        <f aca="false">"site:linkedin.com/in """ &amp; $B$73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"PVR INOX Ltd"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3" s="5" t="str">
        <f aca="false">"""" &amp; $B$73 &amp; """ (""partnership"" OR ""partnerships"" OR sponsorship OR sponsor OR ""strategic partnership"" OR ""brand partnership"" OR ""business development"" OR alliances OR ""corporate communications"") (contact OR email OR ""contact us"" OR ""media contact"")"</f>
        <v>"PVR INOX Ltd" ("partnership" OR "partnerships" OR sponsorship OR sponsor OR "strategic partnership" OR "brand partnership" OR "business development" OR alliances OR "corporate communications") (contact OR email OR "contact us" OR "media contact")</v>
      </c>
      <c r="K73" s="5" t="str">
        <f aca="false">"""" &amp; $B$73 &amp; """ India (""partnership"" OR ""partnerships"" OR sponsorship OR sponsor OR ""strategic partnership"" OR ""brand partnership"" OR ""business development"" OR alliances OR ""corporate communications"") (contact OR email OR ""contact us"" OR ""media contact"")"</f>
        <v>"PVR INOX Ltd" India ("partnership" OR "partnerships" OR sponsorship OR sponsor OR "strategic partnership" OR "brand partnership" OR "business development" OR alliances OR "corporate communications") (contact OR email OR "contact us" OR "media contact")</v>
      </c>
      <c r="L73" s="5" t="s">
        <v>22</v>
      </c>
      <c r="M73" s="5" t="s">
        <v>288</v>
      </c>
      <c r="N73" s="5"/>
    </row>
    <row r="74" customFormat="false" ht="15" hidden="false" customHeight="true" outlineLevel="0" collapsed="false">
      <c r="A74" s="5" t="n">
        <v>71</v>
      </c>
      <c r="B74" s="5" t="s">
        <v>289</v>
      </c>
      <c r="C74" s="5" t="s">
        <v>284</v>
      </c>
      <c r="D74" s="5" t="s">
        <v>290</v>
      </c>
      <c r="E74" s="5" t="s">
        <v>291</v>
      </c>
      <c r="F74" s="5" t="s">
        <v>292</v>
      </c>
      <c r="G74" s="5" t="s">
        <v>21</v>
      </c>
      <c r="H74" s="5" t="str">
        <f aca="false">"site:linkedin.com/in """ &amp; $B$74 &amp; """ (""Partnerships"" OR ""Strategic Partnerships"" OR ""Brand Partnerships"" OR ""Strategic Alliances"" OR ""Business Development"" OR ""Sponsorship"" OR ""Experiential Marketing"" OR ""Event Marketing"" OR ""Corporate Communications"" OR ""Marketing Director"" OR ""Head of Marketing"" OR CMO)"</f>
        <v>site:linkedin.com/in "DNEG India" ("Partnerships" OR "Strategic Partnerships" OR "Brand Partnerships" OR "Strategic Alliances" OR "Business Development" OR "Sponsorship" OR "Experiential Marketing" OR "Event Marketing" OR "Corporate Communications" OR "Marketing Director" OR "Head of Marketing" OR CMO)</v>
      </c>
      <c r="I74" s="5" t="str">
        <f aca="false">"site:linkedin.com/in """ &amp; $B$74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"DNEG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4" s="5" t="str">
        <f aca="false">"""" &amp; $B$74 &amp; """ (""partnership"" OR ""partnerships"" OR sponsorship OR sponsor OR ""strategic partnership"" OR ""brand partnership"" OR ""business development"" OR alliances OR ""corporate communications"") (contact OR email OR ""contact us"" OR ""media contact"")"</f>
        <v>"DNEG India" ("partnership" OR "partnerships" OR sponsorship OR sponsor OR "strategic partnership" OR "brand partnership" OR "business development" OR alliances OR "corporate communications") (contact OR email OR "contact us" OR "media contact")</v>
      </c>
      <c r="K74" s="5" t="str">
        <f aca="false">"""" &amp; $B$74 &amp; """ India (""partnership"" OR ""partnerships"" OR sponsorship OR sponsor OR ""strategic partnership"" OR ""brand partnership"" OR ""business development"" OR alliances OR ""corporate communications"") (contact OR email OR ""contact us"" OR ""media contact"")"</f>
        <v>"DNEG India" India ("partnership" OR "partnerships" OR sponsorship OR sponsor OR "strategic partnership" OR "brand partnership" OR "business development" OR alliances OR "corporate communications") (contact OR email OR "contact us" OR "media contact")</v>
      </c>
      <c r="L74" s="5" t="s">
        <v>22</v>
      </c>
      <c r="M74" s="5" t="s">
        <v>293</v>
      </c>
      <c r="N74" s="5"/>
    </row>
    <row r="75" customFormat="false" ht="15" hidden="false" customHeight="true" outlineLevel="0" collapsed="false">
      <c r="A75" s="5" t="n">
        <v>72</v>
      </c>
      <c r="B75" s="5" t="s">
        <v>294</v>
      </c>
      <c r="C75" s="5" t="s">
        <v>284</v>
      </c>
      <c r="D75" s="5" t="s">
        <v>58</v>
      </c>
      <c r="E75" s="5" t="s">
        <v>295</v>
      </c>
      <c r="F75" s="5" t="s">
        <v>296</v>
      </c>
      <c r="G75" s="5" t="s">
        <v>21</v>
      </c>
      <c r="H75" s="5" t="str">
        <f aca="false">"site:linkedin.com/in """ &amp; $B$75 &amp; """ (""Partnerships"" OR ""Strategic Partnerships"" OR ""Brand Partnerships"" OR ""Strategic Alliances"" OR ""Business Development"" OR ""Sponsorship"" OR ""Experiential Marketing"" OR ""Event Marketing"" OR ""Corporate Communications"" OR ""Marketing Director"" OR ""Head of Marketing"" OR CMO)"</f>
        <v>site:linkedin.com/in "Red Chillies Entertainment (Redchillies.vfx)" ("Partnerships" OR "Strategic Partnerships" OR "Brand Partnerships" OR "Strategic Alliances" OR "Business Development" OR "Sponsorship" OR "Experiential Marketing" OR "Event Marketing" OR "Corporate Communications" OR "Marketing Director" OR "Head of Marketing" OR CMO)</v>
      </c>
      <c r="I75" s="5" t="str">
        <f aca="false">"site:linkedin.com/in """ &amp; $B$75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"Red Chillies Entertainment (Redchillies.vfx)"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5" s="5" t="str">
        <f aca="false">"""" &amp; $B$75 &amp; """ (""partnership"" OR ""partnerships"" OR sponsorship OR sponsor OR ""strategic partnership"" OR ""brand partnership"" OR ""business development"" OR alliances OR ""corporate communications"") (contact OR email OR ""contact us"" OR ""media contact"")"</f>
        <v>"Red Chillies Entertainment (Redchillies.vfx)" ("partnership" OR "partnerships" OR sponsorship OR sponsor OR "strategic partnership" OR "brand partnership" OR "business development" OR alliances OR "corporate communications") (contact OR email OR "contact us" OR "media contact")</v>
      </c>
      <c r="K75" s="5" t="str">
        <f aca="false">"""" &amp; $B$75 &amp; """ India (""partnership"" OR ""partnerships"" OR sponsorship OR sponsor OR ""strategic partnership"" OR ""brand partnership"" OR ""business development"" OR alliances OR ""corporate communications"") (contact OR email OR ""contact us"" OR ""media contact"")"</f>
        <v>"Red Chillies Entertainment (Redchillies.vfx)" India ("partnership" OR "partnerships" OR sponsorship OR sponsor OR "strategic partnership" OR "brand partnership" OR "business development" OR alliances OR "corporate communications") (contact OR email OR "contact us" OR "media contact")</v>
      </c>
      <c r="L75" s="5" t="s">
        <v>22</v>
      </c>
      <c r="M75" s="5" t="s">
        <v>293</v>
      </c>
      <c r="N75" s="5"/>
    </row>
    <row r="76" customFormat="false" ht="15" hidden="false" customHeight="true" outlineLevel="0" collapsed="false">
      <c r="A76" s="5" t="n">
        <v>73</v>
      </c>
      <c r="B76" s="5" t="s">
        <v>297</v>
      </c>
      <c r="C76" s="5" t="s">
        <v>284</v>
      </c>
      <c r="D76" s="5" t="s">
        <v>298</v>
      </c>
      <c r="E76" s="5" t="s">
        <v>299</v>
      </c>
      <c r="F76" s="5" t="s">
        <v>300</v>
      </c>
      <c r="G76" s="5" t="s">
        <v>21</v>
      </c>
      <c r="H76" s="5" t="str">
        <f aca="false">"site:linkedin.com/in """ &amp; $B$76 &amp; """ (""Partnerships"" OR ""Strategic Partnerships"" OR ""Brand Partnerships"" OR ""Strategic Alliances"" OR ""Business Development"" OR ""Sponsorship"" OR ""Experiential Marketing"" OR ""Event Marketing"" OR ""Corporate Communications"" OR ""Marketing Director"" OR ""Head of Marketing"" OR CMO)"</f>
        <v>site:linkedin.com/in "Anibrain" ("Partnerships" OR "Strategic Partnerships" OR "Brand Partnerships" OR "Strategic Alliances" OR "Business Development" OR "Sponsorship" OR "Experiential Marketing" OR "Event Marketing" OR "Corporate Communications" OR "Marketing Director" OR "Head of Marketing" OR CMO)</v>
      </c>
      <c r="I76" s="5" t="str">
        <f aca="false">"site:linkedin.com/in """ &amp; $B$76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"Anibrain"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6" s="5" t="str">
        <f aca="false">"""" &amp; $B$76 &amp; """ (""partnership"" OR ""partnerships"" OR sponsorship OR sponsor OR ""strategic partnership"" OR ""brand partnership"" OR ""business development"" OR alliances OR ""corporate communications"") (contact OR email OR ""contact us"" OR ""media contact"")"</f>
        <v>"Anibrain" ("partnership" OR "partnerships" OR sponsorship OR sponsor OR "strategic partnership" OR "brand partnership" OR "business development" OR alliances OR "corporate communications") (contact OR email OR "contact us" OR "media contact")</v>
      </c>
      <c r="K76" s="5" t="str">
        <f aca="false">"""" &amp; $B$76 &amp; """ India (""partnership"" OR ""partnerships"" OR sponsorship OR sponsor OR ""strategic partnership"" OR ""brand partnership"" OR ""business development"" OR alliances OR ""corporate communications"") (contact OR email OR ""contact us"" OR ""media contact"")"</f>
        <v>"Anibrain" India ("partnership" OR "partnerships" OR sponsorship OR sponsor OR "strategic partnership" OR "brand partnership" OR "business development" OR alliances OR "corporate communications") (contact OR email OR "contact us" OR "media contact")</v>
      </c>
      <c r="L76" s="5" t="s">
        <v>22</v>
      </c>
      <c r="M76" s="5" t="s">
        <v>301</v>
      </c>
      <c r="N76" s="5"/>
    </row>
    <row r="77" customFormat="false" ht="15" hidden="false" customHeight="true" outlineLevel="0" collapsed="false">
      <c r="A77" s="5" t="n">
        <v>74</v>
      </c>
      <c r="B77" s="5" t="s">
        <v>302</v>
      </c>
      <c r="C77" s="5" t="s">
        <v>284</v>
      </c>
      <c r="D77" s="5" t="s">
        <v>210</v>
      </c>
      <c r="E77" s="5" t="s">
        <v>303</v>
      </c>
      <c r="F77" s="5" t="s">
        <v>304</v>
      </c>
      <c r="G77" s="5" t="s">
        <v>21</v>
      </c>
      <c r="H77" s="5" t="str">
        <f aca="false">"site:linkedin.com/in """ &amp; $B$77 &amp; """ (""Partnerships"" OR ""Strategic Partnerships"" OR ""Brand Partnerships"" OR ""Strategic Alliances"" OR ""Business Development"" OR ""Sponsorship"" OR ""Experiential Marketing"" OR ""Event Marketing"" OR ""Corporate Communications"" OR ""Marketing Director"" OR ""Head of Marketing"" OR CMO)"</f>
        <v>site:linkedin.com/in "Tata Elxsi Visual Computing Labs" ("Partnerships" OR "Strategic Partnerships" OR "Brand Partnerships" OR "Strategic Alliances" OR "Business Development" OR "Sponsorship" OR "Experiential Marketing" OR "Event Marketing" OR "Corporate Communications" OR "Marketing Director" OR "Head of Marketing" OR CMO)</v>
      </c>
      <c r="I77" s="5" t="str">
        <f aca="false">"site:linkedin.com/in """ &amp; $B$77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"Tata Elxsi Visual Computing Labs"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7" s="5" t="str">
        <f aca="false">"""" &amp; $B$77 &amp; """ (""partnership"" OR ""partnerships"" OR sponsorship OR sponsor OR ""strategic partnership"" OR ""brand partnership"" OR ""business development"" OR alliances OR ""corporate communications"") (contact OR email OR ""contact us"" OR ""media contact"")"</f>
        <v>"Tata Elxsi Visual Computing Labs" ("partnership" OR "partnerships" OR sponsorship OR sponsor OR "strategic partnership" OR "brand partnership" OR "business development" OR alliances OR "corporate communications") (contact OR email OR "contact us" OR "media contact")</v>
      </c>
      <c r="K77" s="5" t="str">
        <f aca="false">"""" &amp; $B$77 &amp; """ India (""partnership"" OR ""partnerships"" OR sponsorship OR sponsor OR ""strategic partnership"" OR ""brand partnership"" OR ""business development"" OR alliances OR ""corporate communications"") (contact OR email OR ""contact us"" OR ""media contact"")"</f>
        <v>"Tata Elxsi Visual Computing Labs" India ("partnership" OR "partnerships" OR sponsorship OR sponsor OR "strategic partnership" OR "brand partnership" OR "business development" OR alliances OR "corporate communications") (contact OR email OR "contact us" OR "media contact")</v>
      </c>
      <c r="L77" s="5" t="s">
        <v>22</v>
      </c>
      <c r="M77" s="5" t="s">
        <v>305</v>
      </c>
      <c r="N77" s="5"/>
    </row>
    <row r="78" customFormat="false" ht="15" hidden="false" customHeight="true" outlineLevel="0" collapsed="false">
      <c r="A78" s="5" t="n">
        <v>75</v>
      </c>
      <c r="B78" s="5" t="s">
        <v>306</v>
      </c>
      <c r="C78" s="5" t="s">
        <v>284</v>
      </c>
      <c r="D78" s="5" t="s">
        <v>58</v>
      </c>
      <c r="E78" s="5" t="s">
        <v>307</v>
      </c>
      <c r="F78" s="5" t="s">
        <v>308</v>
      </c>
      <c r="G78" s="5" t="s">
        <v>21</v>
      </c>
      <c r="H78" s="5" t="str">
        <f aca="false">"site:linkedin.com/in """ &amp; $B$78 &amp; """ (""Partnerships"" OR ""Strategic Partnerships"" OR ""Brand Partnerships"" OR ""Strategic Alliances"" OR ""Business Development"" OR ""Sponsorship"" OR ""Experiential Marketing"" OR ""Event Marketing"" OR ""Corporate Communications"" OR ""Marketing Director"" OR ""Head of Marketing"" OR CMO)"</f>
        <v>site:linkedin.com/in "Prana Studios" ("Partnerships" OR "Strategic Partnerships" OR "Brand Partnerships" OR "Strategic Alliances" OR "Business Development" OR "Sponsorship" OR "Experiential Marketing" OR "Event Marketing" OR "Corporate Communications" OR "Marketing Director" OR "Head of Marketing" OR CMO)</v>
      </c>
      <c r="I78" s="5" t="str">
        <f aca="false">"site:linkedin.com/in """ &amp; $B$78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"Prana Studios"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8" s="5" t="str">
        <f aca="false">"""" &amp; $B$78 &amp; """ (""partnership"" OR ""partnerships"" OR sponsorship OR sponsor OR ""strategic partnership"" OR ""brand partnership"" OR ""business development"" OR alliances OR ""corporate communications"") (contact OR email OR ""contact us"" OR ""media contact"")"</f>
        <v>"Prana Studios" ("partnership" OR "partnerships" OR sponsorship OR sponsor OR "strategic partnership" OR "brand partnership" OR "business development" OR alliances OR "corporate communications") (contact OR email OR "contact us" OR "media contact")</v>
      </c>
      <c r="K78" s="5" t="str">
        <f aca="false">"""" &amp; $B$78 &amp; """ India (""partnership"" OR ""partnerships"" OR sponsorship OR sponsor OR ""strategic partnership"" OR ""brand partnership"" OR ""business development"" OR alliances OR ""corporate communications"") (contact OR email OR ""contact us"" OR ""media contact"")"</f>
        <v>"Prana Studios" India ("partnership" OR "partnerships" OR sponsorship OR sponsor OR "strategic partnership" OR "brand partnership" OR "business development" OR alliances OR "corporate communications") (contact OR email OR "contact us" OR "media contact")</v>
      </c>
      <c r="L78" s="5" t="s">
        <v>22</v>
      </c>
      <c r="M78" s="5" t="s">
        <v>309</v>
      </c>
      <c r="N78" s="5"/>
    </row>
    <row r="79" customFormat="false" ht="15" hidden="false" customHeight="true" outlineLevel="0" collapsed="false">
      <c r="A79" s="5" t="n">
        <v>76</v>
      </c>
      <c r="B79" s="5" t="s">
        <v>310</v>
      </c>
      <c r="C79" s="5" t="s">
        <v>284</v>
      </c>
      <c r="D79" s="5" t="s">
        <v>311</v>
      </c>
      <c r="E79" s="5" t="s">
        <v>312</v>
      </c>
      <c r="F79" s="5" t="s">
        <v>313</v>
      </c>
      <c r="G79" s="5" t="s">
        <v>21</v>
      </c>
      <c r="H79" s="5" t="str">
        <f aca="false">"site:linkedin.com/in """ &amp; $B$79 &amp; """ (""Partnerships"" OR ""Strategic Partnerships"" OR ""Brand Partnerships"" OR ""Strategic Alliances"" OR ""Business Development"" OR ""Sponsorship"" OR ""Experiential Marketing"" OR ""Event Marketing"" OR ""Corporate Communications"" OR ""Marketing Director"" OR ""Head of Marketing"" OR CMO)"</f>
        <v>site:linkedin.com/in "Cinepolis India" ("Partnerships" OR "Strategic Partnerships" OR "Brand Partnerships" OR "Strategic Alliances" OR "Business Development" OR "Sponsorship" OR "Experiential Marketing" OR "Event Marketing" OR "Corporate Communications" OR "Marketing Director" OR "Head of Marketing" OR CMO)</v>
      </c>
      <c r="I79" s="5" t="str">
        <f aca="false">"site:linkedin.com/in """ &amp; $B$79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"Cinepolis India"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79" s="5" t="str">
        <f aca="false">"""" &amp; $B$79 &amp; """ (""partnership"" OR ""partnerships"" OR sponsorship OR sponsor OR ""strategic partnership"" OR ""brand partnership"" OR ""business development"" OR alliances OR ""corporate communications"") (contact OR email OR ""contact us"" OR ""media contact"")"</f>
        <v>"Cinepolis India" ("partnership" OR "partnerships" OR sponsorship OR sponsor OR "strategic partnership" OR "brand partnership" OR "business development" OR alliances OR "corporate communications") (contact OR email OR "contact us" OR "media contact")</v>
      </c>
      <c r="K79" s="5" t="str">
        <f aca="false">"""" &amp; $B$79 &amp; """ India (""partnership"" OR ""partnerships"" OR sponsorship OR sponsor OR ""strategic partnership"" OR ""brand partnership"" OR ""business development"" OR alliances OR ""corporate communications"") (contact OR email OR ""contact us"" OR ""media contact"")"</f>
        <v>"Cinepolis India" India ("partnership" OR "partnerships" OR sponsorship OR sponsor OR "strategic partnership" OR "brand partnership" OR "business development" OR alliances OR "corporate communications") (contact OR email OR "contact us" OR "media contact")</v>
      </c>
      <c r="L79" s="5" t="s">
        <v>22</v>
      </c>
      <c r="M79" s="5" t="s">
        <v>314</v>
      </c>
      <c r="N79" s="5"/>
    </row>
    <row r="80" customFormat="false" ht="15" hidden="false" customHeight="true" outlineLevel="0" collapsed="false">
      <c r="A80" s="5" t="n">
        <v>77</v>
      </c>
      <c r="B80" s="5" t="s">
        <v>315</v>
      </c>
      <c r="C80" s="5" t="s">
        <v>284</v>
      </c>
      <c r="D80" s="5" t="s">
        <v>316</v>
      </c>
      <c r="E80" s="5" t="s">
        <v>317</v>
      </c>
      <c r="F80" s="5" t="s">
        <v>318</v>
      </c>
      <c r="G80" s="5" t="s">
        <v>21</v>
      </c>
      <c r="H80" s="5" t="str">
        <f aca="false">"site:linkedin.com/in """ &amp; $B$80 &amp; """ (""Partnerships"" OR ""Strategic Partnerships"" OR ""Brand Partnerships"" OR ""Strategic Alliances"" OR ""Business Development"" OR ""Sponsorship"" OR ""Experiential Marketing"" OR ""Event Marketing"" OR ""Corporate Communications"" OR ""Marketing Director"" OR ""Head of Marketing"" OR CMO)"</f>
        <v>site:linkedin.com/in "Miraj Cinemas" ("Partnerships" OR "Strategic Partnerships" OR "Brand Partnerships" OR "Strategic Alliances" OR "Business Development" OR "Sponsorship" OR "Experiential Marketing" OR "Event Marketing" OR "Corporate Communications" OR "Marketing Director" OR "Head of Marketing" OR CMO)</v>
      </c>
      <c r="I80" s="5" t="str">
        <f aca="false">"site:linkedin.com/in """ &amp; $B$80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"Miraj Cinemas"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0" s="5" t="str">
        <f aca="false">"""" &amp; $B$80 &amp; """ (""partnership"" OR ""partnerships"" OR sponsorship OR sponsor OR ""strategic partnership"" OR ""brand partnership"" OR ""business development"" OR alliances OR ""corporate communications"") (contact OR email OR ""contact us"" OR ""media contact"")"</f>
        <v>"Miraj Cinemas" ("partnership" OR "partnerships" OR sponsorship OR sponsor OR "strategic partnership" OR "brand partnership" OR "business development" OR alliances OR "corporate communications") (contact OR email OR "contact us" OR "media contact")</v>
      </c>
      <c r="K80" s="5" t="str">
        <f aca="false">"""" &amp; $B$80 &amp; """ India (""partnership"" OR ""partnerships"" OR sponsorship OR sponsor OR ""strategic partnership"" OR ""brand partnership"" OR ""business development"" OR alliances OR ""corporate communications"") (contact OR email OR ""contact us"" OR ""media contact"")"</f>
        <v>"Miraj Cinemas" India ("partnership" OR "partnerships" OR sponsorship OR sponsor OR "strategic partnership" OR "brand partnership" OR "business development" OR alliances OR "corporate communications") (contact OR email OR "contact us" OR "media contact")</v>
      </c>
      <c r="L80" s="5" t="s">
        <v>22</v>
      </c>
      <c r="M80" s="5" t="s">
        <v>319</v>
      </c>
      <c r="N80" s="5"/>
    </row>
    <row r="81" customFormat="false" ht="15" hidden="false" customHeight="true" outlineLevel="0" collapsed="false">
      <c r="A81" s="5" t="n">
        <v>78</v>
      </c>
      <c r="B81" s="5" t="s">
        <v>320</v>
      </c>
      <c r="C81" s="5" t="s">
        <v>284</v>
      </c>
      <c r="D81" s="5" t="s">
        <v>58</v>
      </c>
      <c r="E81" s="5" t="s">
        <v>321</v>
      </c>
      <c r="F81" s="5" t="s">
        <v>322</v>
      </c>
      <c r="G81" s="5" t="s">
        <v>21</v>
      </c>
      <c r="H81" s="5" t="str">
        <f aca="false">"site:linkedin.com/in """ &amp; $B$81 &amp; """ (""Partnerships"" OR ""Strategic Partnerships"" OR ""Brand Partnerships"" OR ""Strategic Alliances"" OR ""Business Development"" OR ""Sponsorship"" OR ""Experiential Marketing"" OR ""Event Marketing"" OR ""Corporate Communications"" OR ""Marketing Director"" OR ""Head of Marketing"" OR CMO)"</f>
        <v>site:linkedin.com/in "Yash Raj Films" ("Partnerships" OR "Strategic Partnerships" OR "Brand Partnerships" OR "Strategic Alliances" OR "Business Development" OR "Sponsorship" OR "Experiential Marketing" OR "Event Marketing" OR "Corporate Communications" OR "Marketing Director" OR "Head of Marketing" OR CMO)</v>
      </c>
      <c r="I81" s="5" t="str">
        <f aca="false">"site:linkedin.com/in """ &amp; $B$81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"Yash Raj Films"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1" s="5" t="str">
        <f aca="false">"""" &amp; $B$81 &amp; """ (""partnership"" OR ""partnerships"" OR sponsorship OR sponsor OR ""strategic partnership"" OR ""brand partnership"" OR ""business development"" OR alliances OR ""corporate communications"") (contact OR email OR ""contact us"" OR ""media contact"")"</f>
        <v>"Yash Raj Films" ("partnership" OR "partnerships" OR sponsorship OR sponsor OR "strategic partnership" OR "brand partnership" OR "business development" OR alliances OR "corporate communications") (contact OR email OR "contact us" OR "media contact")</v>
      </c>
      <c r="K81" s="5" t="str">
        <f aca="false">"""" &amp; $B$81 &amp; """ India (""partnership"" OR ""partnerships"" OR sponsorship OR sponsor OR ""strategic partnership"" OR ""brand partnership"" OR ""business development"" OR alliances OR ""corporate communications"") (contact OR email OR ""contact us"" OR ""media contact"")"</f>
        <v>"Yash Raj Films" India ("partnership" OR "partnerships" OR sponsorship OR sponsor OR "strategic partnership" OR "brand partnership" OR "business development" OR alliances OR "corporate communications") (contact OR email OR "contact us" OR "media contact")</v>
      </c>
      <c r="L81" s="5" t="s">
        <v>22</v>
      </c>
      <c r="M81" s="5" t="s">
        <v>323</v>
      </c>
      <c r="N81" s="5"/>
    </row>
    <row r="82" customFormat="false" ht="15" hidden="false" customHeight="true" outlineLevel="0" collapsed="false">
      <c r="A82" s="5" t="n">
        <v>79</v>
      </c>
      <c r="B82" s="5" t="s">
        <v>324</v>
      </c>
      <c r="C82" s="5" t="s">
        <v>284</v>
      </c>
      <c r="D82" s="5" t="s">
        <v>58</v>
      </c>
      <c r="E82" s="5" t="s">
        <v>325</v>
      </c>
      <c r="F82" s="5" t="s">
        <v>326</v>
      </c>
      <c r="G82" s="5" t="s">
        <v>21</v>
      </c>
      <c r="H82" s="5" t="str">
        <f aca="false">"site:linkedin.com/in """ &amp; $B$82 &amp; """ (""Partnerships"" OR ""Strategic Partnerships"" OR ""Brand Partnerships"" OR ""Strategic Alliances"" OR ""Business Development"" OR ""Sponsorship"" OR ""Experiential Marketing"" OR ""Event Marketing"" OR ""Corporate Communications"" OR ""Marketing Director"" OR ""Head of Marketing"" OR CMO)"</f>
        <v>site:linkedin.com/in "Applause Entertainment" ("Partnerships" OR "Strategic Partnerships" OR "Brand Partnerships" OR "Strategic Alliances" OR "Business Development" OR "Sponsorship" OR "Experiential Marketing" OR "Event Marketing" OR "Corporate Communications" OR "Marketing Director" OR "Head of Marketing" OR CMO)</v>
      </c>
      <c r="I82" s="5" t="str">
        <f aca="false">"site:linkedin.com/in """ &amp; $B$82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"Applause Entertainment"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2" s="5" t="str">
        <f aca="false">"""" &amp; $B$82 &amp; """ (""partnership"" OR ""partnerships"" OR sponsorship OR sponsor OR ""strategic partnership"" OR ""brand partnership"" OR ""business development"" OR alliances OR ""corporate communications"") (contact OR email OR ""contact us"" OR ""media contact"")"</f>
        <v>"Applause Entertainment" ("partnership" OR "partnerships" OR sponsorship OR sponsor OR "strategic partnership" OR "brand partnership" OR "business development" OR alliances OR "corporate communications") (contact OR email OR "contact us" OR "media contact")</v>
      </c>
      <c r="K82" s="5" t="str">
        <f aca="false">"""" &amp; $B$82 &amp; """ India (""partnership"" OR ""partnerships"" OR sponsorship OR sponsor OR ""strategic partnership"" OR ""brand partnership"" OR ""business development"" OR alliances OR ""corporate communications"") (contact OR email OR ""contact us"" OR ""media contact"")"</f>
        <v>"Applause Entertainment" India ("partnership" OR "partnerships" OR sponsorship OR sponsor OR "strategic partnership" OR "brand partnership" OR "business development" OR alliances OR "corporate communications") (contact OR email OR "contact us" OR "media contact")</v>
      </c>
      <c r="L82" s="5" t="s">
        <v>22</v>
      </c>
      <c r="M82" s="5" t="s">
        <v>293</v>
      </c>
      <c r="N82" s="5"/>
    </row>
    <row r="83" customFormat="false" ht="15" hidden="false" customHeight="true" outlineLevel="0" collapsed="false">
      <c r="A83" s="5" t="n">
        <v>80</v>
      </c>
      <c r="B83" s="5" t="s">
        <v>327</v>
      </c>
      <c r="C83" s="5" t="s">
        <v>284</v>
      </c>
      <c r="D83" s="5" t="s">
        <v>229</v>
      </c>
      <c r="E83" s="5" t="s">
        <v>328</v>
      </c>
      <c r="F83" s="5" t="s">
        <v>329</v>
      </c>
      <c r="G83" s="5" t="s">
        <v>21</v>
      </c>
      <c r="H83" s="5" t="str">
        <f aca="false">"site:linkedin.com/in """ &amp; $B$83 &amp; """ (""Partnerships"" OR ""Strategic Partnerships"" OR ""Brand Partnerships"" OR ""Strategic Alliances"" OR ""Business Development"" OR ""Sponsorship"" OR ""Experiential Marketing"" OR ""Event Marketing"" OR ""Corporate Communications"" OR ""Marketing Director"" OR ""Head of Marketing"" OR CMO)"</f>
        <v>site:linkedin.com/in "DVV Entertainment" ("Partnerships" OR "Strategic Partnerships" OR "Brand Partnerships" OR "Strategic Alliances" OR "Business Development" OR "Sponsorship" OR "Experiential Marketing" OR "Event Marketing" OR "Corporate Communications" OR "Marketing Director" OR "Head of Marketing" OR CMO)</v>
      </c>
      <c r="I83" s="5" t="str">
        <f aca="false">"site:linkedin.com/in """ &amp; $B$83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"DVV Entertainment"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3" s="5" t="str">
        <f aca="false">"""" &amp; $B$83 &amp; """ (""partnership"" OR ""partnerships"" OR sponsorship OR sponsor OR ""strategic partnership"" OR ""brand partnership"" OR ""business development"" OR alliances OR ""corporate communications"") (contact OR email OR ""contact us"" OR ""media contact"")"</f>
        <v>"DVV Entertainment" ("partnership" OR "partnerships" OR sponsorship OR sponsor OR "strategic partnership" OR "brand partnership" OR "business development" OR alliances OR "corporate communications") (contact OR email OR "contact us" OR "media contact")</v>
      </c>
      <c r="K83" s="5" t="str">
        <f aca="false">"""" &amp; $B$83 &amp; """ India (""partnership"" OR ""partnerships"" OR sponsorship OR sponsor OR ""strategic partnership"" OR ""brand partnership"" OR ""business development"" OR alliances OR ""corporate communications"") (contact OR email OR ""contact us"" OR ""media contact"")"</f>
        <v>"DVV Entertainment" India ("partnership" OR "partnerships" OR sponsorship OR sponsor OR "strategic partnership" OR "brand partnership" OR "business development" OR alliances OR "corporate communications") (contact OR email OR "contact us" OR "media contact")</v>
      </c>
      <c r="L83" s="5" t="s">
        <v>22</v>
      </c>
      <c r="M83" s="5" t="s">
        <v>330</v>
      </c>
      <c r="N83" s="5"/>
    </row>
    <row r="84" customFormat="false" ht="15" hidden="false" customHeight="true" outlineLevel="0" collapsed="false">
      <c r="A84" s="5" t="n">
        <v>81</v>
      </c>
      <c r="B84" s="5" t="s">
        <v>331</v>
      </c>
      <c r="C84" s="5" t="s">
        <v>284</v>
      </c>
      <c r="D84" s="5" t="s">
        <v>229</v>
      </c>
      <c r="E84" s="5" t="s">
        <v>332</v>
      </c>
      <c r="F84" s="5" t="s">
        <v>333</v>
      </c>
      <c r="G84" s="5" t="s">
        <v>21</v>
      </c>
      <c r="H84" s="5" t="str">
        <f aca="false">"site:linkedin.com/in """ &amp; $B$84 &amp; """ (""Partnerships"" OR ""Strategic Partnerships"" OR ""Brand Partnerships"" OR ""Strategic Alliances"" OR ""Business Development"" OR ""Sponsorship"" OR ""Experiential Marketing"" OR ""Event Marketing"" OR ""Corporate Communications"" OR ""Marketing Director"" OR ""Head of Marketing"" OR CMO)"</f>
        <v>site:linkedin.com/in "Mythri Movie Makers" ("Partnerships" OR "Strategic Partnerships" OR "Brand Partnerships" OR "Strategic Alliances" OR "Business Development" OR "Sponsorship" OR "Experiential Marketing" OR "Event Marketing" OR "Corporate Communications" OR "Marketing Director" OR "Head of Marketing" OR CMO)</v>
      </c>
      <c r="I84" s="5" t="str">
        <f aca="false">"site:linkedin.com/in """ &amp; $B$84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"Mythri Movie Makers"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4" s="5" t="str">
        <f aca="false">"""" &amp; $B$84 &amp; """ (""partnership"" OR ""partnerships"" OR sponsorship OR sponsor OR ""strategic partnership"" OR ""brand partnership"" OR ""business development"" OR alliances OR ""corporate communications"") (contact OR email OR ""contact us"" OR ""media contact"")"</f>
        <v>"Mythri Movie Makers" ("partnership" OR "partnerships" OR sponsorship OR sponsor OR "strategic partnership" OR "brand partnership" OR "business development" OR alliances OR "corporate communications") (contact OR email OR "contact us" OR "media contact")</v>
      </c>
      <c r="K84" s="5" t="str">
        <f aca="false">"""" &amp; $B$84 &amp; """ India (""partnership"" OR ""partnerships"" OR sponsorship OR sponsor OR ""strategic partnership"" OR ""brand partnership"" OR ""business development"" OR alliances OR ""corporate communications"") (contact OR email OR ""contact us"" OR ""media contact"")"</f>
        <v>"Mythri Movie Makers" India ("partnership" OR "partnerships" OR sponsorship OR sponsor OR "strategic partnership" OR "brand partnership" OR "business development" OR alliances OR "corporate communications") (contact OR email OR "contact us" OR "media contact")</v>
      </c>
      <c r="L84" s="5" t="s">
        <v>22</v>
      </c>
      <c r="M84" s="5" t="s">
        <v>293</v>
      </c>
      <c r="N84" s="5"/>
    </row>
    <row r="85" customFormat="false" ht="15" hidden="false" customHeight="true" outlineLevel="0" collapsed="false">
      <c r="A85" s="5" t="n">
        <v>82</v>
      </c>
      <c r="B85" s="5" t="s">
        <v>334</v>
      </c>
      <c r="C85" s="5" t="s">
        <v>284</v>
      </c>
      <c r="D85" s="5" t="s">
        <v>58</v>
      </c>
      <c r="E85" s="5" t="s">
        <v>335</v>
      </c>
      <c r="F85" s="5" t="s">
        <v>336</v>
      </c>
      <c r="G85" s="5" t="s">
        <v>21</v>
      </c>
      <c r="H85" s="5" t="str">
        <f aca="false">"site:linkedin.com/in """ &amp; $B$85 &amp; """ (""Partnerships"" OR ""Strategic Partnerships"" OR ""Brand Partnerships"" OR ""Strategic Alliances"" OR ""Business Development"" OR ""Sponsorship"" OR ""Experiential Marketing"" OR ""Event Marketing"" OR ""Corporate Communications"" OR ""Marketing Director"" OR ""Head of Marketing"" OR CMO)"</f>
        <v>site:linkedin.com/in "Wizcraft International Entertainment" ("Partnerships" OR "Strategic Partnerships" OR "Brand Partnerships" OR "Strategic Alliances" OR "Business Development" OR "Sponsorship" OR "Experiential Marketing" OR "Event Marketing" OR "Corporate Communications" OR "Marketing Director" OR "Head of Marketing" OR CMO)</v>
      </c>
      <c r="I85" s="5" t="str">
        <f aca="false">"site:linkedin.com/in """ &amp; $B$85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"Wizcraft International Entertainment"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5" s="5" t="str">
        <f aca="false">"""" &amp; $B$85 &amp; """ (""partnership"" OR ""partnerships"" OR sponsorship OR sponsor OR ""strategic partnership"" OR ""brand partnership"" OR ""business development"" OR alliances OR ""corporate communications"") (contact OR email OR ""contact us"" OR ""media contact"")"</f>
        <v>"Wizcraft International Entertainment" ("partnership" OR "partnerships" OR sponsorship OR sponsor OR "strategic partnership" OR "brand partnership" OR "business development" OR alliances OR "corporate communications") (contact OR email OR "contact us" OR "media contact")</v>
      </c>
      <c r="K85" s="5" t="str">
        <f aca="false">"""" &amp; $B$85 &amp; """ India (""partnership"" OR ""partnerships"" OR sponsorship OR sponsor OR ""strategic partnership"" OR ""brand partnership"" OR ""business development"" OR alliances OR ""corporate communications"") (contact OR email OR ""contact us"" OR ""media contact"")"</f>
        <v>"Wizcraft International Entertainment" India ("partnership" OR "partnerships" OR sponsorship OR sponsor OR "strategic partnership" OR "brand partnership" OR "business development" OR alliances OR "corporate communications") (contact OR email OR "contact us" OR "media contact")</v>
      </c>
      <c r="L85" s="5" t="s">
        <v>22</v>
      </c>
      <c r="M85" s="5" t="s">
        <v>293</v>
      </c>
      <c r="N85" s="5"/>
    </row>
    <row r="86" customFormat="false" ht="15" hidden="false" customHeight="true" outlineLevel="0" collapsed="false">
      <c r="A86" s="5" t="n">
        <v>83</v>
      </c>
      <c r="B86" s="5" t="s">
        <v>337</v>
      </c>
      <c r="C86" s="5" t="s">
        <v>284</v>
      </c>
      <c r="D86" s="5" t="s">
        <v>229</v>
      </c>
      <c r="E86" s="5" t="s">
        <v>338</v>
      </c>
      <c r="F86" s="5" t="s">
        <v>339</v>
      </c>
      <c r="G86" s="5" t="s">
        <v>21</v>
      </c>
      <c r="H86" s="5" t="str">
        <f aca="false">"site:linkedin.com/in """ &amp; $B$86 &amp; """ (""Partnerships"" OR ""Strategic Partnerships"" OR ""Brand Partnerships"" OR ""Strategic Alliances"" OR ""Business Development"" OR ""Sponsorship"" OR ""Experiential Marketing"" OR ""Event Marketing"" OR ""Corporate Communications"" OR ""Marketing Director"" OR ""Head of Marketing"" OR CMO)"</f>
        <v>site:linkedin.com/in "Ramoji Film City" ("Partnerships" OR "Strategic Partnerships" OR "Brand Partnerships" OR "Strategic Alliances" OR "Business Development" OR "Sponsorship" OR "Experiential Marketing" OR "Event Marketing" OR "Corporate Communications" OR "Marketing Director" OR "Head of Marketing" OR CMO)</v>
      </c>
      <c r="I86" s="5" t="str">
        <f aca="false">"site:linkedin.com/in """ &amp; $B$86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"Ramoji Film City"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6" s="5" t="str">
        <f aca="false">"""" &amp; $B$86 &amp; """ (""partnership"" OR ""partnerships"" OR sponsorship OR sponsor OR ""strategic partnership"" OR ""brand partnership"" OR ""business development"" OR alliances OR ""corporate communications"") (contact OR email OR ""contact us"" OR ""media contact"")"</f>
        <v>"Ramoji Film City" ("partnership" OR "partnerships" OR sponsorship OR sponsor OR "strategic partnership" OR "brand partnership" OR "business development" OR alliances OR "corporate communications") (contact OR email OR "contact us" OR "media contact")</v>
      </c>
      <c r="K86" s="5" t="str">
        <f aca="false">"""" &amp; $B$86 &amp; """ India (""partnership"" OR ""partnerships"" OR sponsorship OR sponsor OR ""strategic partnership"" OR ""brand partnership"" OR ""business development"" OR alliances OR ""corporate communications"") (contact OR email OR ""contact us"" OR ""media contact"")"</f>
        <v>"Ramoji Film City" India ("partnership" OR "partnerships" OR sponsorship OR sponsor OR "strategic partnership" OR "brand partnership" OR "business development" OR alliances OR "corporate communications") (contact OR email OR "contact us" OR "media contact")</v>
      </c>
      <c r="L86" s="5" t="s">
        <v>22</v>
      </c>
      <c r="M86" s="5" t="s">
        <v>293</v>
      </c>
      <c r="N86" s="5"/>
    </row>
    <row r="87" customFormat="false" ht="15" hidden="false" customHeight="true" outlineLevel="0" collapsed="false">
      <c r="A87" s="5" t="n">
        <v>84</v>
      </c>
      <c r="B87" s="5" t="s">
        <v>340</v>
      </c>
      <c r="C87" s="5" t="s">
        <v>284</v>
      </c>
      <c r="D87" s="5" t="s">
        <v>181</v>
      </c>
      <c r="E87" s="5" t="s">
        <v>341</v>
      </c>
      <c r="F87" s="5" t="s">
        <v>342</v>
      </c>
      <c r="G87" s="5" t="s">
        <v>21</v>
      </c>
      <c r="H87" s="5" t="str">
        <f aca="false">"site:linkedin.com/in """ &amp; $B$87 &amp; """ (""Partnerships"" OR ""Strategic Partnerships"" OR ""Brand Partnerships"" OR ""Strategic Alliances"" OR ""Business Development"" OR ""Sponsorship"" OR ""Experiential Marketing"" OR ""Event Marketing"" OR ""Corporate Communications"" OR ""Marketing Director"" OR ""Head of Marketing"" OR CMO)"</f>
        <v>site:linkedin.com/in "Lyca Productions" ("Partnerships" OR "Strategic Partnerships" OR "Brand Partnerships" OR "Strategic Alliances" OR "Business Development" OR "Sponsorship" OR "Experiential Marketing" OR "Event Marketing" OR "Corporate Communications" OR "Marketing Director" OR "Head of Marketing" OR CMO)</v>
      </c>
      <c r="I87" s="5" t="str">
        <f aca="false">"site:linkedin.com/in """ &amp; $B$87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"Lyca Productions"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7" s="5" t="str">
        <f aca="false">"""" &amp; $B$87 &amp; """ (""partnership"" OR ""partnerships"" OR sponsorship OR sponsor OR ""strategic partnership"" OR ""brand partnership"" OR ""business development"" OR alliances OR ""corporate communications"") (contact OR email OR ""contact us"" OR ""media contact"")"</f>
        <v>"Lyca Productions" ("partnership" OR "partnerships" OR sponsorship OR sponsor OR "strategic partnership" OR "brand partnership" OR "business development" OR alliances OR "corporate communications") (contact OR email OR "contact us" OR "media contact")</v>
      </c>
      <c r="K87" s="5" t="str">
        <f aca="false">"""" &amp; $B$87 &amp; """ India (""partnership"" OR ""partnerships"" OR sponsorship OR sponsor OR ""strategic partnership"" OR ""brand partnership"" OR ""business development"" OR alliances OR ""corporate communications"") (contact OR email OR ""contact us"" OR ""media contact"")"</f>
        <v>"Lyca Productions" India ("partnership" OR "partnerships" OR sponsorship OR sponsor OR "strategic partnership" OR "brand partnership" OR "business development" OR alliances OR "corporate communications") (contact OR email OR "contact us" OR "media contact")</v>
      </c>
      <c r="L87" s="5" t="s">
        <v>22</v>
      </c>
      <c r="M87" s="5" t="s">
        <v>293</v>
      </c>
      <c r="N87" s="5"/>
    </row>
    <row r="88" customFormat="false" ht="15" hidden="false" customHeight="true" outlineLevel="0" collapsed="false">
      <c r="A88" s="5" t="n">
        <v>85</v>
      </c>
      <c r="B88" s="5" t="s">
        <v>343</v>
      </c>
      <c r="C88" s="5" t="s">
        <v>284</v>
      </c>
      <c r="D88" s="5" t="s">
        <v>58</v>
      </c>
      <c r="E88" s="5" t="s">
        <v>344</v>
      </c>
      <c r="F88" s="5" t="s">
        <v>345</v>
      </c>
      <c r="G88" s="5" t="s">
        <v>21</v>
      </c>
      <c r="H88" s="5" t="str">
        <f aca="false">"site:linkedin.com/in """ &amp; $B$88 &amp; """ (""Partnerships"" OR ""Strategic Partnerships"" OR ""Brand Partnerships"" OR ""Strategic Alliances"" OR ""Business Development"" OR ""Sponsorship"" OR ""Experiential Marketing"" OR ""Event Marketing"" OR ""Corporate Communications"" OR ""Marketing Director"" OR ""Head of Marketing"" OR CMO)"</f>
        <v>site:linkedin.com/in "Prime Focus Technologies" ("Partnerships" OR "Strategic Partnerships" OR "Brand Partnerships" OR "Strategic Alliances" OR "Business Development" OR "Sponsorship" OR "Experiential Marketing" OR "Event Marketing" OR "Corporate Communications" OR "Marketing Director" OR "Head of Marketing" OR CMO)</v>
      </c>
      <c r="I88" s="5" t="str">
        <f aca="false">"site:linkedin.com/in """ &amp; $B$88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"Prime Focus Technologies"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8" s="5" t="str">
        <f aca="false">"""" &amp; $B$88 &amp; """ (""partnership"" OR ""partnerships"" OR sponsorship OR sponsor OR ""strategic partnership"" OR ""brand partnership"" OR ""business development"" OR alliances OR ""corporate communications"") (contact OR email OR ""contact us"" OR ""media contact"")"</f>
        <v>"Prime Focus Technologies" ("partnership" OR "partnerships" OR sponsorship OR sponsor OR "strategic partnership" OR "brand partnership" OR "business development" OR alliances OR "corporate communications") (contact OR email OR "contact us" OR "media contact")</v>
      </c>
      <c r="K88" s="5" t="str">
        <f aca="false">"""" &amp; $B$88 &amp; """ India (""partnership"" OR ""partnerships"" OR sponsorship OR sponsor OR ""strategic partnership"" OR ""brand partnership"" OR ""business development"" OR alliances OR ""corporate communications"") (contact OR email OR ""contact us"" OR ""media contact"")"</f>
        <v>"Prime Focus Technologies" India ("partnership" OR "partnerships" OR sponsorship OR sponsor OR "strategic partnership" OR "brand partnership" OR "business development" OR alliances OR "corporate communications") (contact OR email OR "contact us" OR "media contact")</v>
      </c>
      <c r="L88" s="5" t="s">
        <v>22</v>
      </c>
      <c r="M88" s="5" t="s">
        <v>293</v>
      </c>
      <c r="N88" s="5"/>
    </row>
    <row r="89" customFormat="false" ht="15" hidden="false" customHeight="true" outlineLevel="0" collapsed="false">
      <c r="A89" s="5" t="n">
        <v>86</v>
      </c>
      <c r="B89" s="5" t="s">
        <v>346</v>
      </c>
      <c r="C89" s="5" t="s">
        <v>284</v>
      </c>
      <c r="D89" s="5" t="s">
        <v>58</v>
      </c>
      <c r="E89" s="5" t="s">
        <v>347</v>
      </c>
      <c r="F89" s="5" t="s">
        <v>348</v>
      </c>
      <c r="G89" s="5" t="s">
        <v>21</v>
      </c>
      <c r="H89" s="5" t="str">
        <f aca="false">"site:linkedin.com/in """ &amp; $B$89 &amp; """ (""Partnerships"" OR ""Strategic Partnerships"" OR ""Brand Partnerships"" OR ""Strategic Alliances"" OR ""Business Development"" OR ""Sponsorship"" OR ""Experiential Marketing"" OR ""Event Marketing"" OR ""Corporate Communications"" OR ""Marketing Director"" OR ""Head of Marketing"" OR CMO)"</f>
        <v>site:linkedin.com/in "Balaji Telefilms Ltd" ("Partnerships" OR "Strategic Partnerships" OR "Brand Partnerships" OR "Strategic Alliances" OR "Business Development" OR "Sponsorship" OR "Experiential Marketing" OR "Event Marketing" OR "Corporate Communications" OR "Marketing Director" OR "Head of Marketing" OR CMO)</v>
      </c>
      <c r="I89" s="5" t="str">
        <f aca="false">"site:linkedin.com/in """ &amp; $B$89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"Balaji Telefilms Ltd"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89" s="5" t="str">
        <f aca="false">"""" &amp; $B$89 &amp; """ (""partnership"" OR ""partnerships"" OR sponsorship OR sponsor OR ""strategic partnership"" OR ""brand partnership"" OR ""business development"" OR alliances OR ""corporate communications"") (contact OR email OR ""contact us"" OR ""media contact"")"</f>
        <v>"Balaji Telefilms Ltd" ("partnership" OR "partnerships" OR sponsorship OR sponsor OR "strategic partnership" OR "brand partnership" OR "business development" OR alliances OR "corporate communications") (contact OR email OR "contact us" OR "media contact")</v>
      </c>
      <c r="K89" s="5" t="str">
        <f aca="false">"""" &amp; $B$89 &amp; """ India (""partnership"" OR ""partnerships"" OR sponsorship OR sponsor OR ""strategic partnership"" OR ""brand partnership"" OR ""business development"" OR alliances OR ""corporate communications"") (contact OR email OR ""contact us"" OR ""media contact"")"</f>
        <v>"Balaji Telefilms Ltd" India ("partnership" OR "partnerships" OR sponsorship OR sponsor OR "strategic partnership" OR "brand partnership" OR "business development" OR alliances OR "corporate communications") (contact OR email OR "contact us" OR "media contact")</v>
      </c>
      <c r="L89" s="5" t="s">
        <v>22</v>
      </c>
      <c r="M89" s="5" t="s">
        <v>349</v>
      </c>
      <c r="N89" s="5"/>
    </row>
    <row r="90" customFormat="false" ht="15" hidden="false" customHeight="true" outlineLevel="0" collapsed="false">
      <c r="A90" s="5" t="n">
        <v>87</v>
      </c>
      <c r="B90" s="5" t="s">
        <v>350</v>
      </c>
      <c r="C90" s="5" t="s">
        <v>284</v>
      </c>
      <c r="D90" s="5" t="s">
        <v>58</v>
      </c>
      <c r="E90" s="5" t="s">
        <v>351</v>
      </c>
      <c r="F90" s="5" t="s">
        <v>352</v>
      </c>
      <c r="G90" s="5" t="s">
        <v>21</v>
      </c>
      <c r="H90" s="5" t="str">
        <f aca="false">"site:linkedin.com/in """ &amp; $B$90 &amp; """ (""Partnerships"" OR ""Strategic Partnerships"" OR ""Brand Partnerships"" OR ""Strategic Alliances"" OR ""Business Development"" OR ""Sponsorship"" OR ""Experiential Marketing"" OR ""Event Marketing"" OR ""Corporate Communications"" OR ""Marketing Director"" OR ""Head of Marketing"" OR CMO)"</f>
        <v>site:linkedin.com/in "Excel Entertainment" ("Partnerships" OR "Strategic Partnerships" OR "Brand Partnerships" OR "Strategic Alliances" OR "Business Development" OR "Sponsorship" OR "Experiential Marketing" OR "Event Marketing" OR "Corporate Communications" OR "Marketing Director" OR "Head of Marketing" OR CMO)</v>
      </c>
      <c r="I90" s="5" t="str">
        <f aca="false">"site:linkedin.com/in """ &amp; $B$90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"Excel Entertainment"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0" s="5" t="str">
        <f aca="false">"""" &amp; $B$90 &amp; """ (""partnership"" OR ""partnerships"" OR sponsorship OR sponsor OR ""strategic partnership"" OR ""brand partnership"" OR ""business development"" OR alliances OR ""corporate communications"") (contact OR email OR ""contact us"" OR ""media contact"")"</f>
        <v>"Excel Entertainment" ("partnership" OR "partnerships" OR sponsorship OR sponsor OR "strategic partnership" OR "brand partnership" OR "business development" OR alliances OR "corporate communications") (contact OR email OR "contact us" OR "media contact")</v>
      </c>
      <c r="K90" s="5" t="str">
        <f aca="false">"""" &amp; $B$90 &amp; """ India (""partnership"" OR ""partnerships"" OR sponsorship OR sponsor OR ""strategic partnership"" OR ""brand partnership"" OR ""business development"" OR alliances OR ""corporate communications"") (contact OR email OR ""contact us"" OR ""media contact"")"</f>
        <v>"Excel Entertainment" India ("partnership" OR "partnerships" OR sponsorship OR sponsor OR "strategic partnership" OR "brand partnership" OR "business development" OR alliances OR "corporate communications") (contact OR email OR "contact us" OR "media contact")</v>
      </c>
      <c r="L90" s="5" t="s">
        <v>22</v>
      </c>
      <c r="M90" s="5" t="s">
        <v>353</v>
      </c>
      <c r="N90" s="5"/>
    </row>
    <row r="91" customFormat="false" ht="15" hidden="false" customHeight="true" outlineLevel="0" collapsed="false">
      <c r="A91" s="5" t="n">
        <v>88</v>
      </c>
      <c r="B91" s="5" t="s">
        <v>354</v>
      </c>
      <c r="C91" s="5" t="s">
        <v>284</v>
      </c>
      <c r="D91" s="5" t="s">
        <v>58</v>
      </c>
      <c r="E91" s="5" t="s">
        <v>355</v>
      </c>
      <c r="F91" s="5" t="s">
        <v>356</v>
      </c>
      <c r="G91" s="5" t="s">
        <v>21</v>
      </c>
      <c r="H91" s="5" t="str">
        <f aca="false">"site:linkedin.com/in """ &amp; $B$91 &amp; """ (""Partnerships"" OR ""Strategic Partnerships"" OR ""Brand Partnerships"" OR ""Strategic Alliances"" OR ""Business Development"" OR ""Sponsorship"" OR ""Experiential Marketing"" OR ""Event Marketing"" OR ""Corporate Communications"" OR ""Marketing Director"" OR ""Head of Marketing"" OR CMO)"</f>
        <v>site:linkedin.com/in "NY VFXWAALA" ("Partnerships" OR "Strategic Partnerships" OR "Brand Partnerships" OR "Strategic Alliances" OR "Business Development" OR "Sponsorship" OR "Experiential Marketing" OR "Event Marketing" OR "Corporate Communications" OR "Marketing Director" OR "Head of Marketing" OR CMO)</v>
      </c>
      <c r="I91" s="5" t="str">
        <f aca="false">"site:linkedin.com/in """ &amp; $B$91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"NY VFXWAALA"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1" s="5" t="str">
        <f aca="false">"""" &amp; $B$91 &amp; """ (""partnership"" OR ""partnerships"" OR sponsorship OR sponsor OR ""strategic partnership"" OR ""brand partnership"" OR ""business development"" OR alliances OR ""corporate communications"") (contact OR email OR ""contact us"" OR ""media contact"")"</f>
        <v>"NY VFXWAALA" ("partnership" OR "partnerships" OR sponsorship OR sponsor OR "strategic partnership" OR "brand partnership" OR "business development" OR alliances OR "corporate communications") (contact OR email OR "contact us" OR "media contact")</v>
      </c>
      <c r="K91" s="5" t="str">
        <f aca="false">"""" &amp; $B$91 &amp; """ India (""partnership"" OR ""partnerships"" OR sponsorship OR sponsor OR ""strategic partnership"" OR ""brand partnership"" OR ""business development"" OR alliances OR ""corporate communications"") (contact OR email OR ""contact us"" OR ""media contact"")"</f>
        <v>"NY VFXWAALA" India ("partnership" OR "partnerships" OR sponsorship OR sponsor OR "strategic partnership" OR "brand partnership" OR "business development" OR alliances OR "corporate communications") (contact OR email OR "contact us" OR "media contact")</v>
      </c>
      <c r="L91" s="5" t="s">
        <v>22</v>
      </c>
      <c r="M91" s="5" t="s">
        <v>293</v>
      </c>
      <c r="N91" s="5"/>
    </row>
    <row r="92" customFormat="false" ht="15" hidden="false" customHeight="true" outlineLevel="0" collapsed="false">
      <c r="A92" s="5" t="n">
        <v>89</v>
      </c>
      <c r="B92" s="5" t="s">
        <v>357</v>
      </c>
      <c r="C92" s="5" t="s">
        <v>284</v>
      </c>
      <c r="D92" s="5" t="s">
        <v>181</v>
      </c>
      <c r="E92" s="5" t="s">
        <v>358</v>
      </c>
      <c r="F92" s="5" t="s">
        <v>359</v>
      </c>
      <c r="G92" s="5" t="s">
        <v>21</v>
      </c>
      <c r="H92" s="5" t="str">
        <f aca="false">"site:linkedin.com/in """ &amp; $B$92 &amp; """ (""Partnerships"" OR ""Strategic Partnerships"" OR ""Brand Partnerships"" OR ""Strategic Alliances"" OR ""Business Development"" OR ""Sponsorship"" OR ""Experiential Marketing"" OR ""Event Marketing"" OR ""Corporate Communications"" OR ""Marketing Director"" OR ""Head of Marketing"" OR CMO)"</f>
        <v>site:linkedin.com/in "Qube Cinema Technologies" ("Partnerships" OR "Strategic Partnerships" OR "Brand Partnerships" OR "Strategic Alliances" OR "Business Development" OR "Sponsorship" OR "Experiential Marketing" OR "Event Marketing" OR "Corporate Communications" OR "Marketing Director" OR "Head of Marketing" OR CMO)</v>
      </c>
      <c r="I92" s="5" t="str">
        <f aca="false">"site:linkedin.com/in """ &amp; $B$92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"Qube Cinema Technologies"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2" s="5" t="str">
        <f aca="false">"""" &amp; $B$92 &amp; """ (""partnership"" OR ""partnerships"" OR sponsorship OR sponsor OR ""strategic partnership"" OR ""brand partnership"" OR ""business development"" OR alliances OR ""corporate communications"") (contact OR email OR ""contact us"" OR ""media contact"")"</f>
        <v>"Qube Cinema Technologies" ("partnership" OR "partnerships" OR sponsorship OR sponsor OR "strategic partnership" OR "brand partnership" OR "business development" OR alliances OR "corporate communications") (contact OR email OR "contact us" OR "media contact")</v>
      </c>
      <c r="K92" s="5" t="str">
        <f aca="false">"""" &amp; $B$92 &amp; """ India (""partnership"" OR ""partnerships"" OR sponsorship OR sponsor OR ""strategic partnership"" OR ""brand partnership"" OR ""business development"" OR alliances OR ""corporate communications"") (contact OR email OR ""contact us"" OR ""media contact"")"</f>
        <v>"Qube Cinema Technologies" India ("partnership" OR "partnerships" OR sponsorship OR sponsor OR "strategic partnership" OR "brand partnership" OR "business development" OR alliances OR "corporate communications") (contact OR email OR "contact us" OR "media contact")</v>
      </c>
      <c r="L92" s="5" t="s">
        <v>22</v>
      </c>
      <c r="M92" s="5" t="s">
        <v>293</v>
      </c>
      <c r="N92" s="5"/>
    </row>
    <row r="93" customFormat="false" ht="15" hidden="false" customHeight="true" outlineLevel="0" collapsed="false">
      <c r="A93" s="5" t="n">
        <v>90</v>
      </c>
      <c r="B93" s="5" t="s">
        <v>360</v>
      </c>
      <c r="C93" s="5" t="s">
        <v>361</v>
      </c>
      <c r="D93" s="5" t="s">
        <v>362</v>
      </c>
      <c r="E93" s="5" t="s">
        <v>363</v>
      </c>
      <c r="F93" s="5" t="s">
        <v>364</v>
      </c>
      <c r="G93" s="5" t="s">
        <v>21</v>
      </c>
      <c r="H93" s="5" t="str">
        <f aca="false">"site:linkedin.com/in """ &amp; $B$93 &amp; """ (""Partnerships"" OR ""Strategic Partnerships"" OR ""Brand Partnerships"" OR ""Strategic Alliances"" OR ""Business Development"" OR ""Sponsorship"" OR ""Experiential Marketing"" OR ""Event Marketing"" OR ""Corporate Communications"" OR ""Marketing Director"" OR ""Head of Marketing"" OR CMO)"</f>
        <v>site:linkedin.com/in "Google (Google DeepMind)" ("Partnerships" OR "Strategic Partnerships" OR "Brand Partnerships" OR "Strategic Alliances" OR "Business Development" OR "Sponsorship" OR "Experiential Marketing" OR "Event Marketing" OR "Corporate Communications" OR "Marketing Director" OR "Head of Marketing" OR CMO)</v>
      </c>
      <c r="I93" s="5" t="str">
        <f aca="false">"site:linkedin.com/in """ &amp; $B$93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"Google (Google DeepMind)"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3" s="5" t="str">
        <f aca="false">"""" &amp; $B$93 &amp; """ (""partnership"" OR ""partnerships"" OR sponsorship OR sponsor OR ""strategic partnership"" OR ""brand partnership"" OR ""business development"" OR alliances OR ""corporate communications"") (contact OR email OR ""contact us"" OR ""media contact"")"</f>
        <v>"Google (Google DeepMind)" ("partnership" OR "partnerships" OR sponsorship OR sponsor OR "strategic partnership" OR "brand partnership" OR "business development" OR alliances OR "corporate communications") (contact OR email OR "contact us" OR "media contact")</v>
      </c>
      <c r="K93" s="5" t="str">
        <f aca="false">"""" &amp; $B$93 &amp; """ India (""partnership"" OR ""partnerships"" OR sponsorship OR sponsor OR ""strategic partnership"" OR ""brand partnership"" OR ""business development"" OR alliances OR ""corporate communications"") (contact OR email OR ""contact us"" OR ""media contact"")"</f>
        <v>"Google (Google DeepMind)" India ("partnership" OR "partnerships" OR sponsorship OR sponsor OR "strategic partnership" OR "brand partnership" OR "business development" OR alliances OR "corporate communications") (contact OR email OR "contact us" OR "media contact")</v>
      </c>
      <c r="L93" s="5" t="s">
        <v>22</v>
      </c>
      <c r="M93" s="5" t="s">
        <v>261</v>
      </c>
      <c r="N93" s="5"/>
    </row>
    <row r="94" customFormat="false" ht="15" hidden="false" customHeight="true" outlineLevel="0" collapsed="false">
      <c r="A94" s="5" t="n">
        <v>91</v>
      </c>
      <c r="B94" s="5" t="s">
        <v>365</v>
      </c>
      <c r="C94" s="5" t="s">
        <v>361</v>
      </c>
      <c r="D94" s="5" t="s">
        <v>366</v>
      </c>
      <c r="E94" s="5" t="s">
        <v>367</v>
      </c>
      <c r="F94" s="5" t="s">
        <v>368</v>
      </c>
      <c r="G94" s="5" t="s">
        <v>21</v>
      </c>
      <c r="H94" s="5" t="str">
        <f aca="false">"site:linkedin.com/in """ &amp; $B$94 &amp; """ (""Partnerships"" OR ""Strategic Partnerships"" OR ""Brand Partnerships"" OR ""Strategic Alliances"" OR ""Business Development"" OR ""Sponsorship"" OR ""Experiential Marketing"" OR ""Event Marketing"" OR ""Corporate Communications"" OR ""Marketing Director"" OR ""Head of Marketing"" OR CMO)"</f>
        <v>site:linkedin.com/in "Microsoft" ("Partnerships" OR "Strategic Partnerships" OR "Brand Partnerships" OR "Strategic Alliances" OR "Business Development" OR "Sponsorship" OR "Experiential Marketing" OR "Event Marketing" OR "Corporate Communications" OR "Marketing Director" OR "Head of Marketing" OR CMO)</v>
      </c>
      <c r="I94" s="5" t="str">
        <f aca="false">"site:linkedin.com/in """ &amp; $B$94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"Microsoft"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4" s="5" t="str">
        <f aca="false">"""" &amp; $B$94 &amp; """ (""partnership"" OR ""partnerships"" OR sponsorship OR sponsor OR ""strategic partnership"" OR ""brand partnership"" OR ""business development"" OR alliances OR ""corporate communications"") (contact OR email OR ""contact us"" OR ""media contact"")"</f>
        <v>"Microsoft" ("partnership" OR "partnerships" OR sponsorship OR sponsor OR "strategic partnership" OR "brand partnership" OR "business development" OR alliances OR "corporate communications") (contact OR email OR "contact us" OR "media contact")</v>
      </c>
      <c r="K94" s="5" t="str">
        <f aca="false">"""" &amp; $B$94 &amp; """ India (""partnership"" OR ""partnerships"" OR sponsorship OR sponsor OR ""strategic partnership"" OR ""brand partnership"" OR ""business development"" OR alliances OR ""corporate communications"") (contact OR email OR ""contact us"" OR ""media contact"")"</f>
        <v>"Microsoft" India ("partnership" OR "partnerships" OR sponsorship OR sponsor OR "strategic partnership" OR "brand partnership" OR "business development" OR alliances OR "corporate communications") (contact OR email OR "contact us" OR "media contact")</v>
      </c>
      <c r="L94" s="5" t="s">
        <v>22</v>
      </c>
      <c r="M94" s="5" t="s">
        <v>261</v>
      </c>
      <c r="N94" s="5"/>
    </row>
    <row r="95" customFormat="false" ht="15" hidden="false" customHeight="true" outlineLevel="0" collapsed="false">
      <c r="A95" s="5" t="n">
        <v>92</v>
      </c>
      <c r="B95" s="5" t="s">
        <v>369</v>
      </c>
      <c r="C95" s="5" t="s">
        <v>361</v>
      </c>
      <c r="D95" s="5" t="s">
        <v>370</v>
      </c>
      <c r="E95" s="5" t="s">
        <v>371</v>
      </c>
      <c r="F95" s="5" t="s">
        <v>372</v>
      </c>
      <c r="G95" s="5" t="s">
        <v>21</v>
      </c>
      <c r="H95" s="5" t="str">
        <f aca="false">"site:linkedin.com/in """ &amp; $B$95 &amp; """ (""Partnerships"" OR ""Strategic Partnerships"" OR ""Brand Partnerships"" OR ""Strategic Alliances"" OR ""Business Development"" OR ""Sponsorship"" OR ""Experiential Marketing"" OR ""Event Marketing"" OR ""Corporate Communications"" OR ""Marketing Director"" OR ""Head of Marketing"" OR CMO)"</f>
        <v>site:linkedin.com/in "Amazon Web Services (AWS)" ("Partnerships" OR "Strategic Partnerships" OR "Brand Partnerships" OR "Strategic Alliances" OR "Business Development" OR "Sponsorship" OR "Experiential Marketing" OR "Event Marketing" OR "Corporate Communications" OR "Marketing Director" OR "Head of Marketing" OR CMO)</v>
      </c>
      <c r="I95" s="5" t="str">
        <f aca="false">"site:linkedin.com/in """ &amp; $B$95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"Amazon Web Services (AWS)"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5" s="5" t="str">
        <f aca="false">"""" &amp; $B$95 &amp; """ (""partnership"" OR ""partnerships"" OR sponsorship OR sponsor OR ""strategic partnership"" OR ""brand partnership"" OR ""business development"" OR alliances OR ""corporate communications"") (contact OR email OR ""contact us"" OR ""media contact"")"</f>
        <v>"Amazon Web Services (AWS)" ("partnership" OR "partnerships" OR sponsorship OR sponsor OR "strategic partnership" OR "brand partnership" OR "business development" OR alliances OR "corporate communications") (contact OR email OR "contact us" OR "media contact")</v>
      </c>
      <c r="K95" s="5" t="str">
        <f aca="false">"""" &amp; $B$95 &amp; """ India (""partnership"" OR ""partnerships"" OR sponsorship OR sponsor OR ""strategic partnership"" OR ""brand partnership"" OR ""business development"" OR alliances OR ""corporate communications"") (contact OR email OR ""contact us"" OR ""media contact"")"</f>
        <v>"Amazon Web Services (AWS)" India ("partnership" OR "partnerships" OR sponsorship OR sponsor OR "strategic partnership" OR "brand partnership" OR "business development" OR alliances OR "corporate communications") (contact OR email OR "contact us" OR "media contact")</v>
      </c>
      <c r="L95" s="5" t="s">
        <v>22</v>
      </c>
      <c r="M95" s="5" t="s">
        <v>261</v>
      </c>
      <c r="N95" s="5"/>
    </row>
    <row r="96" customFormat="false" ht="15" hidden="false" customHeight="true" outlineLevel="0" collapsed="false">
      <c r="A96" s="5" t="n">
        <v>93</v>
      </c>
      <c r="B96" s="5" t="s">
        <v>373</v>
      </c>
      <c r="C96" s="5" t="s">
        <v>361</v>
      </c>
      <c r="D96" s="5" t="s">
        <v>374</v>
      </c>
      <c r="E96" s="5" t="s">
        <v>375</v>
      </c>
      <c r="F96" s="5" t="s">
        <v>376</v>
      </c>
      <c r="G96" s="5" t="s">
        <v>21</v>
      </c>
      <c r="H96" s="5" t="str">
        <f aca="false">"site:linkedin.com/in """ &amp; $B$96 &amp; """ (""Partnerships"" OR ""Strategic Partnerships"" OR ""Brand Partnerships"" OR ""Strategic Alliances"" OR ""Business Development"" OR ""Sponsorship"" OR ""Experiential Marketing"" OR ""Event Marketing"" OR ""Corporate Communications"" OR ""Marketing Director"" OR ""Head of Marketing"" OR CMO)"</f>
        <v>site:linkedin.com/in "Adobe" ("Partnerships" OR "Strategic Partnerships" OR "Brand Partnerships" OR "Strategic Alliances" OR "Business Development" OR "Sponsorship" OR "Experiential Marketing" OR "Event Marketing" OR "Corporate Communications" OR "Marketing Director" OR "Head of Marketing" OR CMO)</v>
      </c>
      <c r="I96" s="5" t="str">
        <f aca="false">"site:linkedin.com/in """ &amp; $B$96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"Adobe"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6" s="5" t="str">
        <f aca="false">"""" &amp; $B$96 &amp; """ (""partnership"" OR ""partnerships"" OR sponsorship OR sponsor OR ""strategic partnership"" OR ""brand partnership"" OR ""business development"" OR alliances OR ""corporate communications"") (contact OR email OR ""contact us"" OR ""media contact"")"</f>
        <v>"Adobe" ("partnership" OR "partnerships" OR sponsorship OR sponsor OR "strategic partnership" OR "brand partnership" OR "business development" OR alliances OR "corporate communications") (contact OR email OR "contact us" OR "media contact")</v>
      </c>
      <c r="K96" s="5" t="str">
        <f aca="false">"""" &amp; $B$96 &amp; """ India (""partnership"" OR ""partnerships"" OR sponsorship OR sponsor OR ""strategic partnership"" OR ""brand partnership"" OR ""business development"" OR alliances OR ""corporate communications"") (contact OR email OR ""contact us"" OR ""media contact"")"</f>
        <v>"Adobe" India ("partnership" OR "partnerships" OR sponsorship OR sponsor OR "strategic partnership" OR "brand partnership" OR "business development" OR alliances OR "corporate communications") (contact OR email OR "contact us" OR "media contact")</v>
      </c>
      <c r="L96" s="5" t="s">
        <v>22</v>
      </c>
      <c r="M96" s="5" t="s">
        <v>261</v>
      </c>
      <c r="N96" s="5"/>
    </row>
    <row r="97" customFormat="false" ht="15" hidden="false" customHeight="true" outlineLevel="0" collapsed="false">
      <c r="A97" s="5" t="n">
        <v>94</v>
      </c>
      <c r="B97" s="5" t="s">
        <v>377</v>
      </c>
      <c r="C97" s="5" t="s">
        <v>361</v>
      </c>
      <c r="D97" s="5" t="s">
        <v>18</v>
      </c>
      <c r="E97" s="5" t="s">
        <v>378</v>
      </c>
      <c r="F97" s="5" t="s">
        <v>379</v>
      </c>
      <c r="G97" s="5" t="s">
        <v>21</v>
      </c>
      <c r="H97" s="5" t="str">
        <f aca="false">"site:linkedin.com/in """ &amp; $B$97 &amp; """ (""Partnerships"" OR ""Strategic Partnerships"" OR ""Brand Partnerships"" OR ""Strategic Alliances"" OR ""Business Development"" OR ""Sponsorship"" OR ""Experiential Marketing"" OR ""Event Marketing"" OR ""Corporate Communications"" OR ""Marketing Director"" OR ""Head of Marketing"" OR CMO)"</f>
        <v>site:linkedin.com/in "Autodesk" ("Partnerships" OR "Strategic Partnerships" OR "Brand Partnerships" OR "Strategic Alliances" OR "Business Development" OR "Sponsorship" OR "Experiential Marketing" OR "Event Marketing" OR "Corporate Communications" OR "Marketing Director" OR "Head of Marketing" OR CMO)</v>
      </c>
      <c r="I97" s="5" t="str">
        <f aca="false">"site:linkedin.com/in """ &amp; $B$97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"Autodesk"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7" s="5" t="str">
        <f aca="false">"""" &amp; $B$97 &amp; """ (""partnership"" OR ""partnerships"" OR sponsorship OR sponsor OR ""strategic partnership"" OR ""brand partnership"" OR ""business development"" OR alliances OR ""corporate communications"") (contact OR email OR ""contact us"" OR ""media contact"")"</f>
        <v>"Autodesk" ("partnership" OR "partnerships" OR sponsorship OR sponsor OR "strategic partnership" OR "brand partnership" OR "business development" OR alliances OR "corporate communications") (contact OR email OR "contact us" OR "media contact")</v>
      </c>
      <c r="K97" s="5" t="str">
        <f aca="false">"""" &amp; $B$97 &amp; """ India (""partnership"" OR ""partnerships"" OR sponsorship OR sponsor OR ""strategic partnership"" OR ""brand partnership"" OR ""business development"" OR alliances OR ""corporate communications"") (contact OR email OR ""contact us"" OR ""media contact"")"</f>
        <v>"Autodesk" India ("partnership" OR "partnerships" OR sponsorship OR sponsor OR "strategic partnership" OR "brand partnership" OR "business development" OR alliances OR "corporate communications") (contact OR email OR "contact us" OR "media contact")</v>
      </c>
      <c r="L97" s="5" t="s">
        <v>22</v>
      </c>
      <c r="M97" s="5" t="s">
        <v>261</v>
      </c>
      <c r="N97" s="5"/>
    </row>
    <row r="98" customFormat="false" ht="15" hidden="false" customHeight="true" outlineLevel="0" collapsed="false">
      <c r="A98" s="5" t="n">
        <v>95</v>
      </c>
      <c r="B98" s="5" t="s">
        <v>380</v>
      </c>
      <c r="C98" s="5" t="s">
        <v>361</v>
      </c>
      <c r="D98" s="5" t="s">
        <v>381</v>
      </c>
      <c r="E98" s="5" t="s">
        <v>382</v>
      </c>
      <c r="F98" s="5" t="s">
        <v>383</v>
      </c>
      <c r="G98" s="5" t="s">
        <v>21</v>
      </c>
      <c r="H98" s="5" t="str">
        <f aca="false">"site:linkedin.com/in """ &amp; $B$98 &amp; """ (""Partnerships"" OR ""Strategic Partnerships"" OR ""Brand Partnerships"" OR ""Strategic Alliances"" OR ""Business Development"" OR ""Sponsorship"" OR ""Experiential Marketing"" OR ""Event Marketing"" OR ""Corporate Communications"" OR ""Marketing Director"" OR ""Head of Marketing"" OR CMO)"</f>
        <v>site:linkedin.com/in "Avid Technology" ("Partnerships" OR "Strategic Partnerships" OR "Brand Partnerships" OR "Strategic Alliances" OR "Business Development" OR "Sponsorship" OR "Experiential Marketing" OR "Event Marketing" OR "Corporate Communications" OR "Marketing Director" OR "Head of Marketing" OR CMO)</v>
      </c>
      <c r="I98" s="5" t="str">
        <f aca="false">"site:linkedin.com/in """ &amp; $B$98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"Avid Technology"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8" s="5" t="str">
        <f aca="false">"""" &amp; $B$98 &amp; """ (""partnership"" OR ""partnerships"" OR sponsorship OR sponsor OR ""strategic partnership"" OR ""brand partnership"" OR ""business development"" OR alliances OR ""corporate communications"") (contact OR email OR ""contact us"" OR ""media contact"")"</f>
        <v>"Avid Technology" ("partnership" OR "partnerships" OR sponsorship OR sponsor OR "strategic partnership" OR "brand partnership" OR "business development" OR alliances OR "corporate communications") (contact OR email OR "contact us" OR "media contact")</v>
      </c>
      <c r="K98" s="5" t="str">
        <f aca="false">"""" &amp; $B$98 &amp; """ India (""partnership"" OR ""partnerships"" OR sponsorship OR sponsor OR ""strategic partnership"" OR ""brand partnership"" OR ""business development"" OR alliances OR ""corporate communications"") (contact OR email OR ""contact us"" OR ""media contact"")"</f>
        <v>"Avid Technology" India ("partnership" OR "partnerships" OR sponsorship OR sponsor OR "strategic partnership" OR "brand partnership" OR "business development" OR alliances OR "corporate communications") (contact OR email OR "contact us" OR "media contact")</v>
      </c>
      <c r="L98" s="5" t="s">
        <v>22</v>
      </c>
      <c r="M98" s="5" t="s">
        <v>261</v>
      </c>
      <c r="N98" s="5"/>
    </row>
    <row r="99" customFormat="false" ht="15" hidden="false" customHeight="true" outlineLevel="0" collapsed="false">
      <c r="A99" s="5" t="n">
        <v>96</v>
      </c>
      <c r="B99" s="5" t="s">
        <v>384</v>
      </c>
      <c r="C99" s="5" t="s">
        <v>361</v>
      </c>
      <c r="D99" s="5" t="s">
        <v>43</v>
      </c>
      <c r="E99" s="5" t="s">
        <v>385</v>
      </c>
      <c r="F99" s="5" t="s">
        <v>386</v>
      </c>
      <c r="G99" s="5" t="s">
        <v>21</v>
      </c>
      <c r="H99" s="5" t="str">
        <f aca="false">"site:linkedin.com/in """ &amp; $B$99 &amp; """ (""Partnerships"" OR ""Strategic Partnerships"" OR ""Brand Partnerships"" OR ""Strategic Alliances"" OR ""Business Development"" OR ""Sponsorship"" OR ""Experiential Marketing"" OR ""Event Marketing"" OR ""Corporate Communications"" OR ""Marketing Director"" OR ""Head of Marketing"" OR CMO)"</f>
        <v>site:linkedin.com/in "Foundry" ("Partnerships" OR "Strategic Partnerships" OR "Brand Partnerships" OR "Strategic Alliances" OR "Business Development" OR "Sponsorship" OR "Experiential Marketing" OR "Event Marketing" OR "Corporate Communications" OR "Marketing Director" OR "Head of Marketing" OR CMO)</v>
      </c>
      <c r="I99" s="5" t="str">
        <f aca="false">"site:linkedin.com/in """ &amp; $B$99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"Foundry"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99" s="5" t="str">
        <f aca="false">"""" &amp; $B$99 &amp; """ (""partnership"" OR ""partnerships"" OR sponsorship OR sponsor OR ""strategic partnership"" OR ""brand partnership"" OR ""business development"" OR alliances OR ""corporate communications"") (contact OR email OR ""contact us"" OR ""media contact"")"</f>
        <v>"Foundry" ("partnership" OR "partnerships" OR sponsorship OR sponsor OR "strategic partnership" OR "brand partnership" OR "business development" OR alliances OR "corporate communications") (contact OR email OR "contact us" OR "media contact")</v>
      </c>
      <c r="K99" s="5" t="str">
        <f aca="false">"""" &amp; $B$99 &amp; """ India (""partnership"" OR ""partnerships"" OR sponsorship OR sponsor OR ""strategic partnership"" OR ""brand partnership"" OR ""business development"" OR alliances OR ""corporate communications"") (contact OR email OR ""contact us"" OR ""media contact"")"</f>
        <v>"Foundry" India ("partnership" OR "partnerships" OR sponsorship OR sponsor OR "strategic partnership" OR "brand partnership" OR "business development" OR alliances OR "corporate communications") (contact OR email OR "contact us" OR "media contact")</v>
      </c>
      <c r="L99" s="5" t="s">
        <v>22</v>
      </c>
      <c r="M99" s="5" t="s">
        <v>261</v>
      </c>
      <c r="N99" s="5"/>
    </row>
    <row r="100" customFormat="false" ht="15" hidden="false" customHeight="true" outlineLevel="0" collapsed="false">
      <c r="A100" s="5" t="n">
        <v>97</v>
      </c>
      <c r="B100" s="5" t="s">
        <v>387</v>
      </c>
      <c r="C100" s="5" t="s">
        <v>361</v>
      </c>
      <c r="D100" s="5" t="s">
        <v>388</v>
      </c>
      <c r="E100" s="5" t="s">
        <v>389</v>
      </c>
      <c r="F100" s="5" t="s">
        <v>390</v>
      </c>
      <c r="G100" s="5" t="s">
        <v>21</v>
      </c>
      <c r="H100" s="5" t="str">
        <f aca="false">"site:linkedin.com/in """ &amp; $B$100 &amp; """ (""Partnerships"" OR ""Strategic Partnerships"" OR ""Brand Partnerships"" OR ""Strategic Alliances"" OR ""Business Development"" OR ""Sponsorship"" OR ""Experiential Marketing"" OR ""Event Marketing"" OR ""Corporate Communications"" OR ""Marketing Director"" OR ""Head of Marketing"" OR CMO)"</f>
        <v>site:linkedin.com/in "Blackmagic Design" ("Partnerships" OR "Strategic Partnerships" OR "Brand Partnerships" OR "Strategic Alliances" OR "Business Development" OR "Sponsorship" OR "Experiential Marketing" OR "Event Marketing" OR "Corporate Communications" OR "Marketing Director" OR "Head of Marketing" OR CMO)</v>
      </c>
      <c r="I100" s="5" t="str">
        <f aca="false">"site:linkedin.com/in """ &amp; $B$100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"Blackmagic Design"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0" s="5" t="str">
        <f aca="false">"""" &amp; $B$100 &amp; """ (""partnership"" OR ""partnerships"" OR sponsorship OR sponsor OR ""strategic partnership"" OR ""brand partnership"" OR ""business development"" OR alliances OR ""corporate communications"") (contact OR email OR ""contact us"" OR ""media contact"")"</f>
        <v>"Blackmagic Design" ("partnership" OR "partnerships" OR sponsorship OR sponsor OR "strategic partnership" OR "brand partnership" OR "business development" OR alliances OR "corporate communications") (contact OR email OR "contact us" OR "media contact")</v>
      </c>
      <c r="K100" s="5" t="str">
        <f aca="false">"""" &amp; $B$100 &amp; """ India (""partnership"" OR ""partnerships"" OR sponsorship OR sponsor OR ""strategic partnership"" OR ""brand partnership"" OR ""business development"" OR alliances OR ""corporate communications"") (contact OR email OR ""contact us"" OR ""media contact"")"</f>
        <v>"Blackmagic Design" India ("partnership" OR "partnerships" OR sponsorship OR sponsor OR "strategic partnership" OR "brand partnership" OR "business development" OR alliances OR "corporate communications") (contact OR email OR "contact us" OR "media contact")</v>
      </c>
      <c r="L100" s="5" t="s">
        <v>22</v>
      </c>
      <c r="M100" s="5" t="s">
        <v>261</v>
      </c>
      <c r="N100" s="5"/>
    </row>
    <row r="101" customFormat="false" ht="15" hidden="false" customHeight="true" outlineLevel="0" collapsed="false">
      <c r="A101" s="5" t="n">
        <v>98</v>
      </c>
      <c r="B101" s="5" t="s">
        <v>391</v>
      </c>
      <c r="C101" s="5" t="s">
        <v>361</v>
      </c>
      <c r="D101" s="5" t="s">
        <v>18</v>
      </c>
      <c r="E101" s="5" t="s">
        <v>392</v>
      </c>
      <c r="F101" s="5" t="s">
        <v>393</v>
      </c>
      <c r="G101" s="5" t="s">
        <v>21</v>
      </c>
      <c r="H101" s="5" t="str">
        <f aca="false">"site:linkedin.com/in """ &amp; $B$101 &amp; """ (""Partnerships"" OR ""Strategic Partnerships"" OR ""Brand Partnerships"" OR ""Strategic Alliances"" OR ""Business Development"" OR ""Sponsorship"" OR ""Experiential Marketing"" OR ""Event Marketing"" OR ""Corporate Communications"" OR ""Marketing Director"" OR ""Head of Marketing"" OR CMO)"</f>
        <v>site:linkedin.com/in "Unity Software" ("Partnerships" OR "Strategic Partnerships" OR "Brand Partnerships" OR "Strategic Alliances" OR "Business Development" OR "Sponsorship" OR "Experiential Marketing" OR "Event Marketing" OR "Corporate Communications" OR "Marketing Director" OR "Head of Marketing" OR CMO)</v>
      </c>
      <c r="I101" s="5" t="str">
        <f aca="false">"site:linkedin.com/in """ &amp; $B$101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"Unity Software"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1" s="5" t="str">
        <f aca="false">"""" &amp; $B$101 &amp; """ (""partnership"" OR ""partnerships"" OR sponsorship OR sponsor OR ""strategic partnership"" OR ""brand partnership"" OR ""business development"" OR alliances OR ""corporate communications"") (contact OR email OR ""contact us"" OR ""media contact"")"</f>
        <v>"Unity Software" ("partnership" OR "partnerships" OR sponsorship OR sponsor OR "strategic partnership" OR "brand partnership" OR "business development" OR alliances OR "corporate communications") (contact OR email OR "contact us" OR "media contact")</v>
      </c>
      <c r="K101" s="5" t="str">
        <f aca="false">"""" &amp; $B$101 &amp; """ India (""partnership"" OR ""partnerships"" OR sponsorship OR sponsor OR ""strategic partnership"" OR ""brand partnership"" OR ""business development"" OR alliances OR ""corporate communications"") (contact OR email OR ""contact us"" OR ""media contact"")"</f>
        <v>"Unity Software" India ("partnership" OR "partnerships" OR sponsorship OR sponsor OR "strategic partnership" OR "brand partnership" OR "business development" OR alliances OR "corporate communications") (contact OR email OR "contact us" OR "media contact")</v>
      </c>
      <c r="L101" s="5" t="s">
        <v>22</v>
      </c>
      <c r="M101" s="5" t="s">
        <v>261</v>
      </c>
      <c r="N101" s="5"/>
    </row>
    <row r="102" customFormat="false" ht="15" hidden="false" customHeight="true" outlineLevel="0" collapsed="false">
      <c r="A102" s="5" t="n">
        <v>99</v>
      </c>
      <c r="B102" s="5" t="s">
        <v>394</v>
      </c>
      <c r="C102" s="5" t="s">
        <v>361</v>
      </c>
      <c r="D102" s="5" t="s">
        <v>395</v>
      </c>
      <c r="E102" s="5" t="s">
        <v>396</v>
      </c>
      <c r="F102" s="5" t="s">
        <v>397</v>
      </c>
      <c r="G102" s="5" t="s">
        <v>21</v>
      </c>
      <c r="H102" s="5" t="str">
        <f aca="false">"site:linkedin.com/in """ &amp; $B$102 &amp; """ (""Partnerships"" OR ""Strategic Partnerships"" OR ""Brand Partnerships"" OR ""Strategic Alliances"" OR ""Business Development"" OR ""Sponsorship"" OR ""Experiential Marketing"" OR ""Event Marketing"" OR ""Corporate Communications"" OR ""Marketing Director"" OR ""Head of Marketing"" OR CMO)"</f>
        <v>site:linkedin.com/in "Epic Games" ("Partnerships" OR "Strategic Partnerships" OR "Brand Partnerships" OR "Strategic Alliances" OR "Business Development" OR "Sponsorship" OR "Experiential Marketing" OR "Event Marketing" OR "Corporate Communications" OR "Marketing Director" OR "Head of Marketing" OR CMO)</v>
      </c>
      <c r="I102" s="5" t="str">
        <f aca="false">"site:linkedin.com/in """ &amp; $B$102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"Epic Games"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2" s="5" t="str">
        <f aca="false">"""" &amp; $B$102 &amp; """ (""partnership"" OR ""partnerships"" OR sponsorship OR sponsor OR ""strategic partnership"" OR ""brand partnership"" OR ""business development"" OR alliances OR ""corporate communications"") (contact OR email OR ""contact us"" OR ""media contact"")"</f>
        <v>"Epic Games" ("partnership" OR "partnerships" OR sponsorship OR sponsor OR "strategic partnership" OR "brand partnership" OR "business development" OR alliances OR "corporate communications") (contact OR email OR "contact us" OR "media contact")</v>
      </c>
      <c r="K102" s="5" t="str">
        <f aca="false">"""" &amp; $B$102 &amp; """ India (""partnership"" OR ""partnerships"" OR sponsorship OR sponsor OR ""strategic partnership"" OR ""brand partnership"" OR ""business development"" OR alliances OR ""corporate communications"") (contact OR email OR ""contact us"" OR ""media contact"")"</f>
        <v>"Epic Games" India ("partnership" OR "partnerships" OR sponsorship OR sponsor OR "strategic partnership" OR "brand partnership" OR "business development" OR alliances OR "corporate communications") (contact OR email OR "contact us" OR "media contact")</v>
      </c>
      <c r="L102" s="5" t="s">
        <v>22</v>
      </c>
      <c r="M102" s="5" t="s">
        <v>261</v>
      </c>
      <c r="N102" s="5"/>
    </row>
    <row r="103" customFormat="false" ht="15" hidden="false" customHeight="true" outlineLevel="0" collapsed="false">
      <c r="A103" s="5" t="n">
        <v>100</v>
      </c>
      <c r="B103" s="5" t="s">
        <v>398</v>
      </c>
      <c r="C103" s="5" t="s">
        <v>361</v>
      </c>
      <c r="D103" s="5" t="s">
        <v>399</v>
      </c>
      <c r="E103" s="5" t="s">
        <v>400</v>
      </c>
      <c r="F103" s="5" t="s">
        <v>401</v>
      </c>
      <c r="G103" s="5" t="s">
        <v>21</v>
      </c>
      <c r="H103" s="5" t="str">
        <f aca="false">"site:linkedin.com/in """ &amp; $B$103 &amp; """ (""Partnerships"" OR ""Strategic Partnerships"" OR ""Brand Partnerships"" OR ""Strategic Alliances"" OR ""Business Development"" OR ""Sponsorship"" OR ""Experiential Marketing"" OR ""Event Marketing"" OR ""Corporate Communications"" OR ""Marketing Director"" OR ""Head of Marketing"" OR CMO)"</f>
        <v>site:linkedin.com/in "ARRI" ("Partnerships" OR "Strategic Partnerships" OR "Brand Partnerships" OR "Strategic Alliances" OR "Business Development" OR "Sponsorship" OR "Experiential Marketing" OR "Event Marketing" OR "Corporate Communications" OR "Marketing Director" OR "Head of Marketing" OR CMO)</v>
      </c>
      <c r="I103" s="5" t="str">
        <f aca="false">"site:linkedin.com/in """ &amp; $B$103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"ARRI"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3" s="5" t="str">
        <f aca="false">"""" &amp; $B$103 &amp; """ (""partnership"" OR ""partnerships"" OR sponsorship OR sponsor OR ""strategic partnership"" OR ""brand partnership"" OR ""business development"" OR alliances OR ""corporate communications"") (contact OR email OR ""contact us"" OR ""media contact"")"</f>
        <v>"ARRI" ("partnership" OR "partnerships" OR sponsorship OR sponsor OR "strategic partnership" OR "brand partnership" OR "business development" OR alliances OR "corporate communications") (contact OR email OR "contact us" OR "media contact")</v>
      </c>
      <c r="K103" s="5" t="str">
        <f aca="false">"""" &amp; $B$103 &amp; """ India (""partnership"" OR ""partnerships"" OR sponsorship OR sponsor OR ""strategic partnership"" OR ""brand partnership"" OR ""business development"" OR alliances OR ""corporate communications"") (contact OR email OR ""contact us"" OR ""media contact"")"</f>
        <v>"ARRI" India ("partnership" OR "partnerships" OR sponsorship OR sponsor OR "strategic partnership" OR "brand partnership" OR "business development" OR alliances OR "corporate communications") (contact OR email OR "contact us" OR "media contact")</v>
      </c>
      <c r="L103" s="5" t="s">
        <v>22</v>
      </c>
      <c r="M103" s="5" t="s">
        <v>261</v>
      </c>
      <c r="N103" s="5"/>
    </row>
    <row r="104" customFormat="false" ht="15" hidden="false" customHeight="true" outlineLevel="0" collapsed="false">
      <c r="A104" s="5" t="n">
        <v>101</v>
      </c>
      <c r="B104" s="5" t="s">
        <v>402</v>
      </c>
      <c r="C104" s="5" t="s">
        <v>361</v>
      </c>
      <c r="D104" s="5" t="s">
        <v>403</v>
      </c>
      <c r="E104" s="5" t="s">
        <v>404</v>
      </c>
      <c r="F104" s="5" t="s">
        <v>405</v>
      </c>
      <c r="G104" s="5" t="s">
        <v>21</v>
      </c>
      <c r="H104" s="5" t="str">
        <f aca="false">"site:linkedin.com/in """ &amp; $B$104 &amp; """ (""Partnerships"" OR ""Strategic Partnerships"" OR ""Brand Partnerships"" OR ""Strategic Alliances"" OR ""Business Development"" OR ""Sponsorship"" OR ""Experiential Marketing"" OR ""Event Marketing"" OR ""Corporate Communications"" OR ""Marketing Director"" OR ""Head of Marketing"" OR CMO)"</f>
        <v>site:linkedin.com/in "DJI" ("Partnerships" OR "Strategic Partnerships" OR "Brand Partnerships" OR "Strategic Alliances" OR "Business Development" OR "Sponsorship" OR "Experiential Marketing" OR "Event Marketing" OR "Corporate Communications" OR "Marketing Director" OR "Head of Marketing" OR CMO)</v>
      </c>
      <c r="I104" s="5" t="str">
        <f aca="false">"site:linkedin.com/in """ &amp; $B$104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"DJI"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4" s="5" t="str">
        <f aca="false">"""" &amp; $B$104 &amp; """ (""partnership"" OR ""partnerships"" OR sponsorship OR sponsor OR ""strategic partnership"" OR ""brand partnership"" OR ""business development"" OR alliances OR ""corporate communications"") (contact OR email OR ""contact us"" OR ""media contact"")"</f>
        <v>"DJI" ("partnership" OR "partnerships" OR sponsorship OR sponsor OR "strategic partnership" OR "brand partnership" OR "business development" OR alliances OR "corporate communications") (contact OR email OR "contact us" OR "media contact")</v>
      </c>
      <c r="K104" s="5" t="str">
        <f aca="false">"""" &amp; $B$104 &amp; """ India (""partnership"" OR ""partnerships"" OR sponsorship OR sponsor OR ""strategic partnership"" OR ""brand partnership"" OR ""business development"" OR alliances OR ""corporate communications"") (contact OR email OR ""contact us"" OR ""media contact"")"</f>
        <v>"DJI" India ("partnership" OR "partnerships" OR sponsorship OR sponsor OR "strategic partnership" OR "brand partnership" OR "business development" OR alliances OR "corporate communications") (contact OR email OR "contact us" OR "media contact")</v>
      </c>
      <c r="L104" s="5" t="s">
        <v>22</v>
      </c>
      <c r="M104" s="5" t="s">
        <v>261</v>
      </c>
      <c r="N104" s="5"/>
    </row>
    <row r="105" customFormat="false" ht="15" hidden="false" customHeight="true" outlineLevel="0" collapsed="false">
      <c r="A105" s="5" t="n">
        <v>102</v>
      </c>
      <c r="B105" s="5" t="s">
        <v>406</v>
      </c>
      <c r="C105" s="5" t="s">
        <v>361</v>
      </c>
      <c r="D105" s="5" t="s">
        <v>18</v>
      </c>
      <c r="E105" s="5" t="s">
        <v>407</v>
      </c>
      <c r="F105" s="5" t="s">
        <v>408</v>
      </c>
      <c r="G105" s="5" t="s">
        <v>21</v>
      </c>
      <c r="H105" s="5" t="str">
        <f aca="false">"site:linkedin.com/in """ &amp; $B$105 &amp; """ (""Partnerships"" OR ""Strategic Partnerships"" OR ""Brand Partnerships"" OR ""Strategic Alliances"" OR ""Business Development"" OR ""Sponsorship"" OR ""Experiential Marketing"" OR ""Event Marketing"" OR ""Corporate Communications"" OR ""Marketing Director"" OR ""Head of Marketing"" OR CMO)"</f>
        <v>site:linkedin.com/in "OpenAI" ("Partnerships" OR "Strategic Partnerships" OR "Brand Partnerships" OR "Strategic Alliances" OR "Business Development" OR "Sponsorship" OR "Experiential Marketing" OR "Event Marketing" OR "Corporate Communications" OR "Marketing Director" OR "Head of Marketing" OR CMO)</v>
      </c>
      <c r="I105" s="5" t="str">
        <f aca="false">"site:linkedin.com/in """ &amp; $B$105 &amp; """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f>
        <v>site:linkedin.com/in "OpenAI" ("Partnerships" OR "Strategic Partnerships" OR "Brand Partnerships" OR "Strategic Alliances" OR "Business Development" OR "Sponsorship" OR "Experiential Marketing" OR "Event Marketing" OR "Corporate Communications" OR "Marketing Director" OR "Head of Marketing" OR CMO) (India OR Mumbai OR Delhi OR Bengaluru OR Bangalore OR Hyderabad OR Chennai OR Pune OR Gurgaon OR Gurugram)</v>
      </c>
      <c r="J105" s="5" t="str">
        <f aca="false">"""" &amp; $B$105 &amp; """ (""partnership"" OR ""partnerships"" OR sponsorship OR sponsor OR ""strategic partnership"" OR ""brand partnership"" OR ""business development"" OR alliances OR ""corporate communications"") (contact OR email OR ""contact us"" OR ""media contact"")"</f>
        <v>"OpenAI" ("partnership" OR "partnerships" OR sponsorship OR sponsor OR "strategic partnership" OR "brand partnership" OR "business development" OR alliances OR "corporate communications") (contact OR email OR "contact us" OR "media contact")</v>
      </c>
      <c r="K105" s="5" t="str">
        <f aca="false">"""" &amp; $B$105 &amp; """ India (""partnership"" OR ""partnerships"" OR sponsorship OR sponsor OR ""strategic partnership"" OR ""brand partnership"" OR ""business development"" OR alliances OR ""corporate communications"") (contact OR email OR ""contact us"" OR ""media contact"")"</f>
        <v>"OpenAI" India ("partnership" OR "partnerships" OR sponsorship OR sponsor OR "strategic partnership" OR "brand partnership" OR "business development" OR alliances OR "corporate communications") (contact OR email OR "contact us" OR "media contact")</v>
      </c>
      <c r="L105" s="5" t="s">
        <v>22</v>
      </c>
      <c r="M105" s="5" t="s">
        <v>261</v>
      </c>
      <c r="N105" s="5"/>
    </row>
  </sheetData>
  <mergeCells count="2">
    <mergeCell ref="A1:N1"/>
    <mergeCell ref="A2:N2"/>
  </mergeCells>
  <dataValidations count="2">
    <dataValidation allowBlank="true" errorStyle="stop" operator="between" showDropDown="false" showErrorMessage="false" showInputMessage="false" sqref="L4:L105" type="list">
      <formula1>"Y,N"</formula1>
      <formula2>0</formula2>
    </dataValidation>
    <dataValidation allowBlank="true" errorStyle="stop" operator="between" showDropDown="false" showErrorMessage="false" showInputMessage="false" sqref="M4:M105" type="list">
      <formula1>"Not yet cross-checked,Cleared - add to Targets,Duplicate - skip,Excluded - section 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2026-09-03T05:24:38Z</dcterms:created>
  <dc:creator>openpyxl</dc:creator>
  <dc:description/>
  <dc:language>en-US</dc:language>
  <cp:lastModifiedBy/>
  <dcterms:modified xsi:type="dcterms:W3CDTF">2026-09-03T11:41:37Z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